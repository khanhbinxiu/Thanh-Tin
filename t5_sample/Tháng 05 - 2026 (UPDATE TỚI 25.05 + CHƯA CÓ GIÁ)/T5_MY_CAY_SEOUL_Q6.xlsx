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nh Vu\Downloads\Tháng 5\"/>
    </mc:Choice>
  </mc:AlternateContent>
  <xr:revisionPtr revIDLastSave="0" documentId="8_{FC45D6D6-E0C7-4705-8DDD-3A2398CF22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ông n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L14" i="1"/>
  <c r="D11" i="1"/>
  <c r="H10" i="1"/>
  <c r="J10" i="1" s="1"/>
  <c r="L10" i="1" s="1"/>
  <c r="L11" i="1" l="1"/>
  <c r="L12" i="1" l="1"/>
  <c r="L13" i="1" s="1"/>
  <c r="J16" i="1"/>
  <c r="A14" i="1"/>
  <c r="I11" i="1"/>
  <c r="G11" i="1"/>
  <c r="F11" i="1"/>
  <c r="E11" i="1"/>
  <c r="H11" i="1"/>
  <c r="A6" i="1"/>
  <c r="J11" i="1" l="1"/>
</calcChain>
</file>

<file path=xl/sharedStrings.xml><?xml version="1.0" encoding="utf-8"?>
<sst xmlns="http://schemas.openxmlformats.org/spreadsheetml/2006/main" count="34" uniqueCount="28">
  <si>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</si>
  <si>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</si>
  <si>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</si>
  <si>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</si>
  <si>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</si>
  <si>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</si>
  <si>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</si>
  <si>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</si>
  <si>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</si>
  <si>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</si>
  <si>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</si>
  <si>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</si>
  <si>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</si>
  <si>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</si>
  <si>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</si>
  <si>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</si>
  <si>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</si>
  <si>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</si>
  <si>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</si>
  <si>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</si>
  <si>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</si>
  <si>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TỔNG</t>
  </si>
  <si>
    <t>Thuế GTGT (8%)</t>
  </si>
  <si>
    <t>Tổng tiền hàng (bao gồm GTGT 8%) là:</t>
  </si>
  <si>
    <t>Xác nhận của khách hàng</t>
  </si>
  <si>
    <t>Người lập</t>
  </si>
  <si>
    <t>SEOUL Q6</t>
  </si>
  <si>
    <t xml:space="preserve">KHÁCH HÀNG: MỲ CAY SEOUL Q6
ĐỊA CHỈ: 214B Nguyễn Văn Luông, Q6
MST: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</si>
</sst>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_(* #,##0_);_(* \(#,##0\);_(* &quot;-&quot;??_);_(@_)"/>
    <numFmt numFmtId="166" formatCode="#,##0.0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i/>
      <sz val="8"/>
      <color rgb="FF888888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9EDF1"/>
      </patternFill>
    </fill>
    <fill>
      <patternFill patternType="solid">
        <fgColor rgb="FFF2F2F2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3" fontId="1" fillId="5" borderId="1" xfId="0" applyNumberFormat="1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5" fontId="1" fillId="5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A8" sqref="A8"/>
    </sheetView>
  </sheetViews>
  <sheetFormatPr defaultRowHeight="14.5" x14ac:dyDescent="0.3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" t="s">
        <v>1</v>
      </c>
      <c r="P1" s="2">
        <v>5</v>
      </c>
    </row>
    <row r="2" spans="1:16" ht="22" customHeight="1" x14ac:dyDescent="0.35">
      <c r="A2" s="20" t="s">
        <v>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 t="s">
        <v>3</v>
      </c>
      <c r="P2" s="2">
        <v>2026</v>
      </c>
    </row>
    <row r="3" spans="1:16" ht="18" customHeight="1" x14ac:dyDescent="0.35">
      <c r="A3" s="26" t="str">
        <f>"(THÁNG "&amp;TEXT($P$1,"00")&amp;"/"&amp;$P$2&amp;")"</f>
        <v>(THÁNG 05/2026)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5" t="s">
        <v>4</v>
      </c>
      <c r="P3" s="19"/>
    </row>
    <row r="4" spans="1:16" ht="42" customHeight="1" x14ac:dyDescent="0.35">
      <c r="A4" s="27" t="s">
        <v>27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6" ht="16" customHeight="1" x14ac:dyDescent="0.35">
      <c r="A5" s="22" t="s">
        <v>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6" ht="16" customHeight="1" x14ac:dyDescent="0.35">
      <c r="A6" s="22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6" ht="16" customHeight="1" x14ac:dyDescent="0.35">
      <c r="A7" s="22" t="s">
        <v>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6" ht="32" customHeight="1" x14ac:dyDescent="0.3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</row>
    <row r="9" spans="1:16" ht="16" customHeight="1" x14ac:dyDescent="0.35">
      <c r="A9" s="4"/>
      <c r="B9" s="4"/>
      <c r="C9" s="4"/>
      <c r="D9" s="4" t="s">
        <v>18</v>
      </c>
      <c r="E9" s="4" t="s">
        <v>18</v>
      </c>
      <c r="F9" s="4" t="s">
        <v>19</v>
      </c>
      <c r="G9" s="4" t="s">
        <v>19</v>
      </c>
      <c r="H9" s="4" t="s">
        <v>20</v>
      </c>
      <c r="I9" s="4" t="s">
        <v>20</v>
      </c>
      <c r="J9" s="4" t="s">
        <v>20</v>
      </c>
      <c r="K9" s="4"/>
      <c r="L9" s="4"/>
      <c r="M9" s="4"/>
    </row>
    <row r="10" spans="1:16" ht="18" customHeight="1" x14ac:dyDescent="0.35">
      <c r="A10" s="5">
        <v>1</v>
      </c>
      <c r="B10" s="6">
        <v>46151</v>
      </c>
      <c r="C10" s="13" t="s">
        <v>26</v>
      </c>
      <c r="D10" s="14">
        <v>3</v>
      </c>
      <c r="E10" s="14">
        <v>3</v>
      </c>
      <c r="F10" s="14">
        <v>0</v>
      </c>
      <c r="G10" s="14">
        <v>0</v>
      </c>
      <c r="H10" s="8">
        <f>D10*45+ F10*12</f>
        <v>135</v>
      </c>
      <c r="I10" s="15">
        <v>0</v>
      </c>
      <c r="J10" s="15">
        <f>H10-I10</f>
        <v>135</v>
      </c>
      <c r="K10" s="16"/>
      <c r="L10" s="8">
        <f>J10*K10</f>
        <v>0</v>
      </c>
      <c r="M10" s="7"/>
    </row>
    <row r="11" spans="1:16" ht="18" customHeight="1" x14ac:dyDescent="0.35">
      <c r="A11" s="9" t="s">
        <v>21</v>
      </c>
      <c r="B11" s="10"/>
      <c r="C11" s="10"/>
      <c r="D11" s="17">
        <f>SUM(D10:D10)</f>
        <v>3</v>
      </c>
      <c r="E11" s="10">
        <f>SUM(E10:E10)</f>
        <v>3</v>
      </c>
      <c r="F11" s="10">
        <f>SUM(F10:F10)</f>
        <v>0</v>
      </c>
      <c r="G11" s="10">
        <f>SUM(G10:G10)</f>
        <v>0</v>
      </c>
      <c r="H11" s="10">
        <f>SUM(H10:H10)</f>
        <v>135</v>
      </c>
      <c r="I11" s="10">
        <f>SUM(I10:I10)</f>
        <v>0</v>
      </c>
      <c r="J11" s="10">
        <f>SUM(J10:J10)</f>
        <v>135</v>
      </c>
      <c r="K11" s="10"/>
      <c r="L11" s="11">
        <f>SUM(L10:L10)</f>
        <v>0</v>
      </c>
      <c r="M11" s="10"/>
    </row>
    <row r="12" spans="1:16" ht="18" customHeight="1" x14ac:dyDescent="0.35">
      <c r="A12" s="23" t="s">
        <v>22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2">
        <f>L11*0.08</f>
        <v>0</v>
      </c>
    </row>
    <row r="13" spans="1:16" ht="18" customHeight="1" x14ac:dyDescent="0.35">
      <c r="A13" s="23" t="s">
        <v>23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2">
        <f>L11+L12</f>
        <v>0</v>
      </c>
    </row>
    <row r="14" spans="1:16" ht="18" customHeight="1" x14ac:dyDescent="0.35">
      <c r="A14" s="22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2">
        <f>L13</f>
        <v>0</v>
      </c>
    </row>
    <row r="15" spans="1:16" ht="10" customHeight="1" x14ac:dyDescent="0.35"/>
    <row r="16" spans="1:16" ht="18" customHeight="1" x14ac:dyDescent="0.35">
      <c r="J16" s="24" t="str">
        <f>"TP Hồ Chí Minh, Ngày "&amp;TEXT(DAY(DATE($P$2,$P$1+1,0)),"00")&amp;" tháng "&amp;TEXT($P$1,"00")&amp;" năm "&amp;$P$2</f>
        <v>TP Hồ Chí Minh, Ngày 31 tháng 05 năm 2026</v>
      </c>
      <c r="K16" s="19"/>
      <c r="L16" s="19"/>
      <c r="M16" s="19"/>
    </row>
    <row r="17" spans="1:13" ht="18" customHeight="1" x14ac:dyDescent="0.35">
      <c r="A17" s="21" t="s">
        <v>24</v>
      </c>
      <c r="B17" s="19"/>
      <c r="C17" s="19"/>
      <c r="D17" s="19"/>
      <c r="J17" s="21" t="s">
        <v>25</v>
      </c>
      <c r="K17" s="19"/>
      <c r="L17" s="19"/>
      <c r="M17" s="19"/>
    </row>
  </sheetData>
  <mergeCells count="14">
    <mergeCell ref="O3:P3"/>
    <mergeCell ref="A3:N3"/>
    <mergeCell ref="A6:N6"/>
    <mergeCell ref="A14:K14"/>
    <mergeCell ref="A4:N4"/>
    <mergeCell ref="A1:N1"/>
    <mergeCell ref="A2:N2"/>
    <mergeCell ref="A17:D17"/>
    <mergeCell ref="A7:N7"/>
    <mergeCell ref="A12:K12"/>
    <mergeCell ref="J16:M16"/>
    <mergeCell ref="J17:M17"/>
    <mergeCell ref="A5:N5"/>
    <mergeCell ref="A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Vu An</cp:lastModifiedBy>
  <dcterms:created xsi:type="dcterms:W3CDTF">2026-05-25T04:01:05Z</dcterms:created>
  <dcterms:modified xsi:type="dcterms:W3CDTF">2026-05-25T04:10:03Z</dcterms:modified>
</cp:coreProperties>
</file>