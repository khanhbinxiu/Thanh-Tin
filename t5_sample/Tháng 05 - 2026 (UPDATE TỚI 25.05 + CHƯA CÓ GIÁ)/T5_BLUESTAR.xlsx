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hanh Vu\Downloads\Tháng 5\"/>
    </mc:Choice>
  </mc:AlternateContent>
  <xr:revisionPtr revIDLastSave="0" documentId="13_ncr:1_{E52BC58E-ED3A-4B6D-B586-DE30DA0195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ONG IN" sheetId="1" r:id="rId1"/>
    <sheet name="BOOMIN VIỆT" sheetId="6" r:id="rId2"/>
    <sheet name="BOOMIN HÀN" sheetId="2" r:id="rId3"/>
    <sheet name="NOVAS" sheetId="3" r:id="rId4"/>
    <sheet name="DOOIL" sheetId="4" r:id="rId5"/>
    <sheet name="BEESCO 3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J10" i="1" s="1"/>
  <c r="L10" i="1" s="1"/>
  <c r="L11" i="1" s="1"/>
  <c r="J17" i="6"/>
  <c r="A15" i="6"/>
  <c r="I12" i="6"/>
  <c r="G12" i="6"/>
  <c r="F12" i="6"/>
  <c r="E12" i="6"/>
  <c r="D12" i="6"/>
  <c r="H11" i="6"/>
  <c r="J11" i="6" s="1"/>
  <c r="L11" i="6" s="1"/>
  <c r="H10" i="6"/>
  <c r="J10" i="6" s="1"/>
  <c r="A6" i="6"/>
  <c r="A3" i="6"/>
  <c r="A3" i="1"/>
  <c r="J16" i="5"/>
  <c r="A14" i="5"/>
  <c r="I11" i="5"/>
  <c r="G11" i="5"/>
  <c r="F11" i="5"/>
  <c r="E11" i="5"/>
  <c r="D11" i="5"/>
  <c r="H10" i="5"/>
  <c r="H11" i="5" s="1"/>
  <c r="A6" i="5"/>
  <c r="A3" i="5"/>
  <c r="J16" i="4"/>
  <c r="A14" i="4"/>
  <c r="I11" i="4"/>
  <c r="G11" i="4"/>
  <c r="F11" i="4"/>
  <c r="E11" i="4"/>
  <c r="D11" i="4"/>
  <c r="H10" i="4"/>
  <c r="H11" i="4" s="1"/>
  <c r="A6" i="4"/>
  <c r="A3" i="4"/>
  <c r="J16" i="3"/>
  <c r="A14" i="3"/>
  <c r="I11" i="3"/>
  <c r="G11" i="3"/>
  <c r="F11" i="3"/>
  <c r="E11" i="3"/>
  <c r="D11" i="3"/>
  <c r="J10" i="3"/>
  <c r="L10" i="3" s="1"/>
  <c r="L11" i="3" s="1"/>
  <c r="H10" i="3"/>
  <c r="H11" i="3" s="1"/>
  <c r="A6" i="3"/>
  <c r="A3" i="3"/>
  <c r="J16" i="2"/>
  <c r="A14" i="2"/>
  <c r="I11" i="2"/>
  <c r="G11" i="2"/>
  <c r="F11" i="2"/>
  <c r="E11" i="2"/>
  <c r="D11" i="2"/>
  <c r="H10" i="2"/>
  <c r="H11" i="2" s="1"/>
  <c r="A6" i="2"/>
  <c r="A3" i="2"/>
  <c r="J16" i="1"/>
  <c r="A14" i="1"/>
  <c r="I11" i="1"/>
  <c r="H11" i="1"/>
  <c r="G11" i="1"/>
  <c r="F11" i="1"/>
  <c r="E11" i="1"/>
  <c r="D11" i="1"/>
  <c r="A6" i="1"/>
  <c r="J10" i="5" l="1"/>
  <c r="L10" i="5" s="1"/>
  <c r="L11" i="5" s="1"/>
  <c r="L12" i="5" s="1"/>
  <c r="L13" i="5" s="1"/>
  <c r="L14" i="5" s="1"/>
  <c r="J10" i="2"/>
  <c r="L10" i="2" s="1"/>
  <c r="L11" i="2" s="1"/>
  <c r="L10" i="6"/>
  <c r="L12" i="6" s="1"/>
  <c r="J12" i="6"/>
  <c r="H12" i="6"/>
  <c r="L12" i="2"/>
  <c r="L13" i="2" s="1"/>
  <c r="L14" i="2" s="1"/>
  <c r="L12" i="1"/>
  <c r="L13" i="1" s="1"/>
  <c r="L14" i="1" s="1"/>
  <c r="L12" i="3"/>
  <c r="L13" i="3" s="1"/>
  <c r="L14" i="3" s="1"/>
  <c r="J11" i="1"/>
  <c r="J11" i="2"/>
  <c r="J10" i="4"/>
  <c r="J11" i="5"/>
  <c r="J11" i="3"/>
  <c r="L13" i="6" l="1"/>
  <c r="L14" i="6" s="1"/>
  <c r="L15" i="6" s="1"/>
  <c r="L10" i="4"/>
  <c r="L11" i="4" s="1"/>
  <c r="J11" i="4"/>
  <c r="L12" i="4" l="1"/>
  <c r="L13" i="4" s="1"/>
  <c r="L14" i="4" s="1"/>
</calcChain>
</file>

<file path=xl/sharedStrings.xml><?xml version="1.0" encoding="utf-8"?>
<sst xmlns="http://schemas.openxmlformats.org/spreadsheetml/2006/main" count="205" uniqueCount="33">
  <si>
    <t>CÔNG TY TNHH THƯƠNG MẠI DỊCH VỤ THÀNH TÍN LBG
115/22/60 BIS Đường Nguyễn Du, Phường 7, Quận Bình Thạnh, TP HCM</t>
  </si>
  <si>
    <t>Tháng:</t>
  </si>
  <si>
    <t>BIÊN BẢN ĐỐI CHIẾU CÔNG NỢ</t>
  </si>
  <si>
    <t>Năm:</t>
  </si>
  <si>
    <t>(Chỉ sửa 2 ô vàng)</t>
  </si>
  <si>
    <t>KHÁCH HÀNG: CÔNG TY TNHH BLUESTAR ASIA
ĐỊA CHỈ: 
MST:</t>
  </si>
  <si>
    <t>Hai bên thống nhất số lượng bên B mua của bên A như sau:</t>
  </si>
  <si>
    <t>2. Khối lượng hàng hóa theo bảng kê chi tiết:</t>
  </si>
  <si>
    <t>STT</t>
  </si>
  <si>
    <t>Ngày giao</t>
  </si>
  <si>
    <t>Nội Dung</t>
  </si>
  <si>
    <t>Bình Giao</t>
  </si>
  <si>
    <t>Trả vỏ</t>
  </si>
  <si>
    <t>Gas giao</t>
  </si>
  <si>
    <t>Gas trả</t>
  </si>
  <si>
    <t>Gas thanh toán</t>
  </si>
  <si>
    <t>Đơn giá chưa VAT (vnđ/kg)</t>
  </si>
  <si>
    <t>Thành Tiền</t>
  </si>
  <si>
    <t>Ghi chú</t>
  </si>
  <si>
    <t>B45kg</t>
  </si>
  <si>
    <t>B12kg</t>
  </si>
  <si>
    <t>Kg</t>
  </si>
  <si>
    <t>DONG IN</t>
  </si>
  <si>
    <t>TỔNG</t>
  </si>
  <si>
    <t>Thuế GTGT (8%)</t>
  </si>
  <si>
    <t>Tổng tiền hàng (bao gồm GTGT 8%) là:</t>
  </si>
  <si>
    <t>Xác nhận của khách hàng</t>
  </si>
  <si>
    <t>Người lập</t>
  </si>
  <si>
    <t>NOVAS</t>
  </si>
  <si>
    <t>DOOIL</t>
  </si>
  <si>
    <t>BEESCO 3</t>
  </si>
  <si>
    <t>BOOMIN VIỆT</t>
  </si>
  <si>
    <t>BOOMIN HÀN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</si>
</sst>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i/>
      <sz val="8"/>
      <color rgb="FF888888"/>
      <name val="Arial"/>
      <family val="2"/>
    </font>
    <font>
      <b/>
      <sz val="13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6DCE4"/>
      </patternFill>
    </fill>
    <fill>
      <patternFill patternType="solid">
        <fgColor rgb="FFE9EDF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0" fontId="5" fillId="0" borderId="1" xfId="0" applyFont="1" applyBorder="1"/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right" vertical="center"/>
    </xf>
    <xf numFmtId="3" fontId="1" fillId="5" borderId="1" xfId="0" applyNumberFormat="1" applyFont="1" applyFill="1" applyBorder="1" applyAlignment="1">
      <alignment horizontal="right" vertical="center"/>
    </xf>
    <xf numFmtId="3" fontId="1" fillId="0" borderId="0" xfId="0" applyNumberFormat="1" applyFont="1" applyAlignment="1">
      <alignment horizontal="right"/>
    </xf>
    <xf numFmtId="165" fontId="5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5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topLeftCell="A2" zoomScale="85" zoomScaleNormal="85" workbookViewId="0">
      <selection activeCell="K10" sqref="K10"/>
    </sheetView>
  </sheetViews>
  <sheetFormatPr defaultRowHeight="14.5" x14ac:dyDescent="0.35"/>
  <cols>
    <col min="1" max="1" width="6" customWidth="1"/>
    <col min="2" max="2" width="13" customWidth="1"/>
    <col min="3" max="3" width="20" customWidth="1"/>
    <col min="4" max="7" width="8" customWidth="1"/>
    <col min="8" max="9" width="10" customWidth="1"/>
    <col min="10" max="10" width="13" customWidth="1"/>
    <col min="11" max="12" width="16" customWidth="1"/>
    <col min="13" max="13" width="14" customWidth="1"/>
  </cols>
  <sheetData>
    <row r="1" spans="1:16" ht="30" customHeight="1" x14ac:dyDescent="0.3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" t="s">
        <v>1</v>
      </c>
      <c r="P1" s="2">
        <v>5</v>
      </c>
    </row>
    <row r="2" spans="1:16" ht="22" customHeight="1" x14ac:dyDescent="0.35">
      <c r="A2" s="18" t="s">
        <v>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" t="s">
        <v>3</v>
      </c>
      <c r="P2" s="2">
        <v>2026</v>
      </c>
    </row>
    <row r="3" spans="1:16" ht="18" customHeight="1" x14ac:dyDescent="0.35">
      <c r="A3" s="24" t="str">
        <f>"(THÁNG "&amp;TEXT($P$1,"00")&amp;"/"&amp;$P$2&amp;")"</f>
        <v>(THÁNG 05/2026)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23" t="s">
        <v>4</v>
      </c>
      <c r="P3" s="17"/>
    </row>
    <row r="4" spans="1:16" ht="42" customHeight="1" x14ac:dyDescent="0.35">
      <c r="A4" s="25" t="s">
        <v>5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16" ht="16" customHeight="1" x14ac:dyDescent="0.35">
      <c r="A5" s="19" t="s">
        <v>6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1:16" ht="16" customHeight="1" x14ac:dyDescent="0.35">
      <c r="A6" s="19" t="str">
        <f>"1. Thời gian giao nhận: Từ 01/"&amp;TEXT($P$1,"00")&amp;"/"&amp;$P$2&amp;" đến "&amp;TEXT(DAY(DATE($P$2,$P$1+1,0)),"00")&amp;"/"&amp;TEXT($P$1,"00")&amp;"/"&amp;$P$2</f>
        <v>1. Thời gian giao nhận: Từ 01/05/2026 đến 31/05/2026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</row>
    <row r="7" spans="1:16" ht="16" customHeight="1" x14ac:dyDescent="0.35">
      <c r="A7" s="19" t="s">
        <v>7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</row>
    <row r="8" spans="1:16" ht="32" customHeight="1" x14ac:dyDescent="0.3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3" t="s">
        <v>16</v>
      </c>
      <c r="L8" s="3" t="s">
        <v>17</v>
      </c>
      <c r="M8" s="3" t="s">
        <v>18</v>
      </c>
    </row>
    <row r="9" spans="1:16" ht="16" customHeight="1" x14ac:dyDescent="0.35">
      <c r="A9" s="4"/>
      <c r="B9" s="4"/>
      <c r="C9" s="4"/>
      <c r="D9" s="4" t="s">
        <v>19</v>
      </c>
      <c r="E9" s="4" t="s">
        <v>19</v>
      </c>
      <c r="F9" s="4" t="s">
        <v>20</v>
      </c>
      <c r="G9" s="4" t="s">
        <v>20</v>
      </c>
      <c r="H9" s="4" t="s">
        <v>21</v>
      </c>
      <c r="I9" s="4" t="s">
        <v>21</v>
      </c>
      <c r="J9" s="4" t="s">
        <v>21</v>
      </c>
      <c r="K9" s="4"/>
      <c r="L9" s="4"/>
      <c r="M9" s="4"/>
    </row>
    <row r="10" spans="1:16" ht="18" customHeight="1" x14ac:dyDescent="0.35">
      <c r="A10" s="5">
        <v>1</v>
      </c>
      <c r="B10" s="6">
        <v>13</v>
      </c>
      <c r="C10" s="7" t="s">
        <v>22</v>
      </c>
      <c r="D10" s="8">
        <v>8</v>
      </c>
      <c r="E10" s="8">
        <v>8</v>
      </c>
      <c r="F10" s="8">
        <v>0</v>
      </c>
      <c r="G10" s="8">
        <v>0</v>
      </c>
      <c r="H10" s="8">
        <f>D10*45+F10*12</f>
        <v>360</v>
      </c>
      <c r="I10" s="8">
        <v>10</v>
      </c>
      <c r="J10" s="8">
        <f>H10-I10</f>
        <v>350</v>
      </c>
      <c r="K10" s="9"/>
      <c r="L10" s="9">
        <f>K10*J10</f>
        <v>0</v>
      </c>
      <c r="M10" s="10"/>
    </row>
    <row r="11" spans="1:16" ht="18" customHeight="1" x14ac:dyDescent="0.35">
      <c r="A11" s="11" t="s">
        <v>23</v>
      </c>
      <c r="B11" s="12"/>
      <c r="C11" s="12"/>
      <c r="D11" s="12">
        <f t="shared" ref="D11:J11" si="0">SUM(D10:D10)</f>
        <v>8</v>
      </c>
      <c r="E11" s="12">
        <f t="shared" si="0"/>
        <v>8</v>
      </c>
      <c r="F11" s="12">
        <f t="shared" si="0"/>
        <v>0</v>
      </c>
      <c r="G11" s="12">
        <f t="shared" si="0"/>
        <v>0</v>
      </c>
      <c r="H11" s="12">
        <f t="shared" si="0"/>
        <v>360</v>
      </c>
      <c r="I11" s="12">
        <f t="shared" si="0"/>
        <v>10</v>
      </c>
      <c r="J11" s="12">
        <f t="shared" si="0"/>
        <v>350</v>
      </c>
      <c r="K11" s="12"/>
      <c r="L11" s="13">
        <f>SUM(L10:L10)</f>
        <v>0</v>
      </c>
      <c r="M11" s="12"/>
    </row>
    <row r="12" spans="1:16" ht="18" customHeight="1" x14ac:dyDescent="0.35">
      <c r="A12" s="21" t="s">
        <v>24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4">
        <f>L11*0.08</f>
        <v>0</v>
      </c>
    </row>
    <row r="13" spans="1:16" ht="18" customHeight="1" x14ac:dyDescent="0.35">
      <c r="A13" s="21" t="s">
        <v>25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4">
        <f>L11+L12</f>
        <v>0</v>
      </c>
    </row>
    <row r="14" spans="1:16" ht="18" customHeight="1" x14ac:dyDescent="0.35">
      <c r="A14" s="19" t="str">
        <f>"Tổng số tiền nợ tính từ 01/"&amp;TEXT($P$1,"00")&amp;"/"&amp;$P$2&amp;" đến "&amp;TEXT(DAY(DATE($P$2,$P$1+1,0)),"00")&amp;"/"&amp;TEXT($P$1,"00")&amp;"/"&amp;$P$2</f>
        <v>Tổng số tiền nợ tính từ 01/05/2026 đến 31/05/2026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4">
        <f>L13</f>
        <v>0</v>
      </c>
    </row>
    <row r="16" spans="1:16" ht="18" customHeight="1" x14ac:dyDescent="0.35">
      <c r="J16" s="20" t="str">
        <f>"TP Hồ Chí Minh, Ngày "&amp;TEXT(DAY(DATE($P$2,$P$1+1,0)),"00")&amp;" tháng "&amp;TEXT($P$1,"00")&amp;" năm "&amp;$P$2</f>
        <v>TP Hồ Chí Minh, Ngày 31 tháng 05 năm 2026</v>
      </c>
      <c r="K16" s="17"/>
      <c r="L16" s="17"/>
      <c r="M16" s="17"/>
    </row>
    <row r="17" spans="1:13" ht="18" customHeight="1" x14ac:dyDescent="0.35">
      <c r="A17" s="22" t="s">
        <v>26</v>
      </c>
      <c r="B17" s="17"/>
      <c r="C17" s="17"/>
      <c r="D17" s="17"/>
      <c r="J17" s="22" t="s">
        <v>27</v>
      </c>
      <c r="K17" s="17"/>
      <c r="L17" s="17"/>
      <c r="M17" s="17"/>
    </row>
  </sheetData>
  <mergeCells count="14">
    <mergeCell ref="A17:D17"/>
    <mergeCell ref="O3:P3"/>
    <mergeCell ref="A3:N3"/>
    <mergeCell ref="A6:N6"/>
    <mergeCell ref="A12:K12"/>
    <mergeCell ref="A4:N4"/>
    <mergeCell ref="J17:M17"/>
    <mergeCell ref="A1:N1"/>
    <mergeCell ref="A2:N2"/>
    <mergeCell ref="A7:N7"/>
    <mergeCell ref="A14:K14"/>
    <mergeCell ref="J16:M16"/>
    <mergeCell ref="A13:K13"/>
    <mergeCell ref="A5:N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67C3B-FC91-401A-9958-9FC140186597}">
  <dimension ref="A1:P18"/>
  <sheetViews>
    <sheetView topLeftCell="B1" workbookViewId="0">
      <selection activeCell="A8" sqref="A8"/>
    </sheetView>
  </sheetViews>
  <sheetFormatPr defaultRowHeight="14.5" x14ac:dyDescent="0.35"/>
  <cols>
    <col min="1" max="1" width="6" customWidth="1"/>
    <col min="2" max="2" width="13" customWidth="1"/>
    <col min="3" max="3" width="20" customWidth="1"/>
    <col min="4" max="7" width="8" customWidth="1"/>
    <col min="8" max="9" width="10" customWidth="1"/>
    <col min="10" max="10" width="13" customWidth="1"/>
    <col min="11" max="12" width="16" customWidth="1"/>
    <col min="13" max="13" width="14" customWidth="1"/>
  </cols>
  <sheetData>
    <row r="1" spans="1:16" ht="30" customHeight="1" x14ac:dyDescent="0.3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" t="s">
        <v>1</v>
      </c>
      <c r="P1" s="2">
        <v>5</v>
      </c>
    </row>
    <row r="2" spans="1:16" ht="22" customHeight="1" x14ac:dyDescent="0.35">
      <c r="A2" s="18" t="s">
        <v>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" t="s">
        <v>3</v>
      </c>
      <c r="P2" s="2">
        <v>2026</v>
      </c>
    </row>
    <row r="3" spans="1:16" ht="18" customHeight="1" x14ac:dyDescent="0.35">
      <c r="A3" s="24" t="str">
        <f>"(THÁNG "&amp;TEXT($P$1,"00")&amp;"/"&amp;$P$2&amp;")"</f>
        <v>(THÁNG 05/2026)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23" t="s">
        <v>4</v>
      </c>
      <c r="P3" s="17"/>
    </row>
    <row r="4" spans="1:16" ht="42" customHeight="1" x14ac:dyDescent="0.35">
      <c r="A4" s="25" t="s">
        <v>5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16" ht="16" customHeight="1" x14ac:dyDescent="0.35">
      <c r="A5" s="19" t="s">
        <v>6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1:16" ht="16" customHeight="1" x14ac:dyDescent="0.35">
      <c r="A6" s="19" t="str">
        <f>"1. Thời gian giao nhận: Từ 01/"&amp;TEXT($P$1,"00")&amp;"/"&amp;$P$2&amp;" đến "&amp;TEXT(DAY(DATE($P$2,$P$1+1,0)),"00")&amp;"/"&amp;TEXT($P$1,"00")&amp;"/"&amp;$P$2</f>
        <v>1. Thời gian giao nhận: Từ 01/05/2026 đến 31/05/2026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</row>
    <row r="7" spans="1:16" ht="16" customHeight="1" x14ac:dyDescent="0.35">
      <c r="A7" s="19" t="s">
        <v>7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</row>
    <row r="8" spans="1:16" ht="32" customHeight="1" x14ac:dyDescent="0.3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3" t="s">
        <v>16</v>
      </c>
      <c r="L8" s="3" t="s">
        <v>17</v>
      </c>
      <c r="M8" s="3" t="s">
        <v>18</v>
      </c>
    </row>
    <row r="9" spans="1:16" ht="16" customHeight="1" x14ac:dyDescent="0.35">
      <c r="A9" s="4"/>
      <c r="B9" s="4"/>
      <c r="C9" s="4"/>
      <c r="D9" s="4" t="s">
        <v>19</v>
      </c>
      <c r="E9" s="4" t="s">
        <v>19</v>
      </c>
      <c r="F9" s="4" t="s">
        <v>20</v>
      </c>
      <c r="G9" s="4" t="s">
        <v>20</v>
      </c>
      <c r="H9" s="4" t="s">
        <v>21</v>
      </c>
      <c r="I9" s="4" t="s">
        <v>21</v>
      </c>
      <c r="J9" s="4" t="s">
        <v>21</v>
      </c>
      <c r="K9" s="4"/>
      <c r="L9" s="4"/>
      <c r="M9" s="4"/>
    </row>
    <row r="10" spans="1:16" ht="18" customHeight="1" x14ac:dyDescent="0.35">
      <c r="A10" s="5">
        <v>1</v>
      </c>
      <c r="B10" s="6">
        <v>46149</v>
      </c>
      <c r="C10" s="7" t="s">
        <v>31</v>
      </c>
      <c r="D10" s="15">
        <v>5</v>
      </c>
      <c r="E10" s="15">
        <v>5</v>
      </c>
      <c r="F10" s="15"/>
      <c r="G10" s="15"/>
      <c r="H10" s="8">
        <f>D10*45+F10*12</f>
        <v>225</v>
      </c>
      <c r="I10" s="15">
        <v>13.1</v>
      </c>
      <c r="J10" s="8">
        <f>H10-I10</f>
        <v>211.9</v>
      </c>
      <c r="K10" s="9"/>
      <c r="L10" s="9">
        <f>K10*J10</f>
        <v>0</v>
      </c>
      <c r="M10" s="10"/>
    </row>
    <row r="11" spans="1:16" ht="18" customHeight="1" x14ac:dyDescent="0.35">
      <c r="A11" s="5">
        <v>2</v>
      </c>
      <c r="B11" s="6">
        <v>46160</v>
      </c>
      <c r="C11" s="7" t="s">
        <v>31</v>
      </c>
      <c r="D11" s="15">
        <v>5</v>
      </c>
      <c r="E11" s="15">
        <v>5</v>
      </c>
      <c r="F11" s="15"/>
      <c r="G11" s="15">
        <v>1</v>
      </c>
      <c r="H11" s="8">
        <f>D11*45+F11*12</f>
        <v>225</v>
      </c>
      <c r="I11" s="15">
        <v>12.5</v>
      </c>
      <c r="J11" s="8">
        <f>H11-I11</f>
        <v>212.5</v>
      </c>
      <c r="K11" s="9"/>
      <c r="L11" s="9">
        <f>K11*J11</f>
        <v>0</v>
      </c>
      <c r="M11" s="10"/>
    </row>
    <row r="12" spans="1:16" ht="18" customHeight="1" x14ac:dyDescent="0.35">
      <c r="A12" s="11" t="s">
        <v>23</v>
      </c>
      <c r="B12" s="12"/>
      <c r="C12" s="12"/>
      <c r="D12" s="12">
        <f t="shared" ref="D12:J12" si="0">SUM(D10:D11)</f>
        <v>10</v>
      </c>
      <c r="E12" s="12">
        <f t="shared" si="0"/>
        <v>10</v>
      </c>
      <c r="F12" s="12">
        <f t="shared" si="0"/>
        <v>0</v>
      </c>
      <c r="G12" s="12">
        <f t="shared" si="0"/>
        <v>1</v>
      </c>
      <c r="H12" s="12">
        <f t="shared" si="0"/>
        <v>450</v>
      </c>
      <c r="I12" s="12">
        <f t="shared" si="0"/>
        <v>25.6</v>
      </c>
      <c r="J12" s="12">
        <f t="shared" si="0"/>
        <v>424.4</v>
      </c>
      <c r="K12" s="12"/>
      <c r="L12" s="13">
        <f>SUM(L10:L11)</f>
        <v>0</v>
      </c>
      <c r="M12" s="12"/>
    </row>
    <row r="13" spans="1:16" ht="18" customHeight="1" x14ac:dyDescent="0.35">
      <c r="A13" s="21" t="s">
        <v>24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4">
        <f>L12*0.08</f>
        <v>0</v>
      </c>
    </row>
    <row r="14" spans="1:16" ht="18" customHeight="1" x14ac:dyDescent="0.35">
      <c r="A14" s="21" t="s">
        <v>25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4">
        <f>L12+L13</f>
        <v>0</v>
      </c>
    </row>
    <row r="15" spans="1:16" ht="18" customHeight="1" x14ac:dyDescent="0.35">
      <c r="A15" s="19" t="str">
        <f>"Tổng số tiền nợ tính từ 01/"&amp;TEXT($P$1,"00")&amp;"/"&amp;$P$2&amp;" đến "&amp;TEXT(DAY(DATE($P$2,$P$1+1,0)),"00")&amp;"/"&amp;TEXT($P$1,"00")&amp;"/"&amp;$P$2</f>
        <v>Tổng số tiền nợ tính từ 01/05/2026 đến 31/05/2026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4">
        <f>L14</f>
        <v>0</v>
      </c>
    </row>
    <row r="17" spans="1:13" ht="18" customHeight="1" x14ac:dyDescent="0.35">
      <c r="J17" s="20" t="str">
        <f>"TP Hồ Chí Minh, Ngày "&amp;TEXT(DAY(DATE($P$2,$P$1+1,0)),"00")&amp;" tháng "&amp;TEXT($P$1,"00")&amp;" năm "&amp;$P$2</f>
        <v>TP Hồ Chí Minh, Ngày 31 tháng 05 năm 2026</v>
      </c>
      <c r="K17" s="17"/>
      <c r="L17" s="17"/>
      <c r="M17" s="17"/>
    </row>
    <row r="18" spans="1:13" ht="18" customHeight="1" x14ac:dyDescent="0.35">
      <c r="A18" s="22" t="s">
        <v>26</v>
      </c>
      <c r="B18" s="17"/>
      <c r="C18" s="17"/>
      <c r="D18" s="17"/>
      <c r="J18" s="22" t="s">
        <v>27</v>
      </c>
      <c r="K18" s="17"/>
      <c r="L18" s="17"/>
      <c r="M18" s="17"/>
    </row>
  </sheetData>
  <mergeCells count="14">
    <mergeCell ref="A5:N5"/>
    <mergeCell ref="A1:N1"/>
    <mergeCell ref="A2:N2"/>
    <mergeCell ref="A3:N3"/>
    <mergeCell ref="O3:P3"/>
    <mergeCell ref="A4:N4"/>
    <mergeCell ref="A18:D18"/>
    <mergeCell ref="J18:M18"/>
    <mergeCell ref="A6:N6"/>
    <mergeCell ref="A7:N7"/>
    <mergeCell ref="A13:K13"/>
    <mergeCell ref="A14:K14"/>
    <mergeCell ref="A15:K15"/>
    <mergeCell ref="J17:M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7"/>
  <sheetViews>
    <sheetView topLeftCell="A8" workbookViewId="0">
      <selection activeCell="O2" sqref="O2"/>
    </sheetView>
  </sheetViews>
  <sheetFormatPr defaultRowHeight="14.5" x14ac:dyDescent="0.35"/>
  <cols>
    <col min="1" max="1" width="6" customWidth="1"/>
    <col min="2" max="2" width="13" customWidth="1"/>
    <col min="3" max="3" width="20" customWidth="1"/>
    <col min="4" max="7" width="8" customWidth="1"/>
    <col min="8" max="9" width="10" customWidth="1"/>
    <col min="10" max="10" width="13" customWidth="1"/>
    <col min="11" max="12" width="16" customWidth="1"/>
    <col min="13" max="13" width="14" customWidth="1"/>
  </cols>
  <sheetData>
    <row r="1" spans="1:16" ht="30" customHeight="1" x14ac:dyDescent="0.3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" t="s">
        <v>1</v>
      </c>
      <c r="P1" s="2">
        <v>5</v>
      </c>
    </row>
    <row r="2" spans="1:16" ht="22" customHeight="1" x14ac:dyDescent="0.35">
      <c r="A2" s="18" t="s">
        <v>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" t="s">
        <v>3</v>
      </c>
      <c r="P2" s="2">
        <v>2026</v>
      </c>
    </row>
    <row r="3" spans="1:16" ht="18" customHeight="1" x14ac:dyDescent="0.35">
      <c r="A3" s="24" t="str">
        <f>"(THÁNG "&amp;TEXT($P$1,"00")&amp;"/"&amp;$P$2&amp;")"</f>
        <v>(THÁNG 05/2026)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23" t="s">
        <v>4</v>
      </c>
      <c r="P3" s="17"/>
    </row>
    <row r="4" spans="1:16" ht="42" customHeight="1" x14ac:dyDescent="0.35">
      <c r="A4" s="25" t="s">
        <v>5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16" ht="16" customHeight="1" x14ac:dyDescent="0.35">
      <c r="A5" s="19" t="s">
        <v>6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1:16" ht="16" customHeight="1" x14ac:dyDescent="0.35">
      <c r="A6" s="19" t="str">
        <f>"1. Thời gian giao nhận: Từ 01/"&amp;TEXT($P$1,"00")&amp;"/"&amp;$P$2&amp;" đến "&amp;TEXT(DAY(DATE($P$2,$P$1+1,0)),"00")&amp;"/"&amp;TEXT($P$1,"00")&amp;"/"&amp;$P$2</f>
        <v>1. Thời gian giao nhận: Từ 01/05/2026 đến 31/05/2026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</row>
    <row r="7" spans="1:16" ht="16" customHeight="1" x14ac:dyDescent="0.35">
      <c r="A7" s="19" t="s">
        <v>7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</row>
    <row r="8" spans="1:16" ht="32" customHeight="1" x14ac:dyDescent="0.3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3" t="s">
        <v>16</v>
      </c>
      <c r="L8" s="3" t="s">
        <v>17</v>
      </c>
      <c r="M8" s="3" t="s">
        <v>18</v>
      </c>
    </row>
    <row r="9" spans="1:16" ht="16" customHeight="1" x14ac:dyDescent="0.35">
      <c r="A9" s="4"/>
      <c r="B9" s="4"/>
      <c r="C9" s="4"/>
      <c r="D9" s="4" t="s">
        <v>19</v>
      </c>
      <c r="E9" s="4" t="s">
        <v>19</v>
      </c>
      <c r="F9" s="4" t="s">
        <v>20</v>
      </c>
      <c r="G9" s="4" t="s">
        <v>20</v>
      </c>
      <c r="H9" s="4" t="s">
        <v>21</v>
      </c>
      <c r="I9" s="4" t="s">
        <v>21</v>
      </c>
      <c r="J9" s="4" t="s">
        <v>21</v>
      </c>
      <c r="K9" s="4"/>
      <c r="L9" s="4"/>
      <c r="M9" s="4"/>
    </row>
    <row r="10" spans="1:16" ht="18" customHeight="1" x14ac:dyDescent="0.35">
      <c r="A10" s="5">
        <v>1</v>
      </c>
      <c r="B10" s="6">
        <v>46149</v>
      </c>
      <c r="C10" s="7" t="s">
        <v>32</v>
      </c>
      <c r="D10" s="8">
        <v>3</v>
      </c>
      <c r="E10" s="8">
        <v>3</v>
      </c>
      <c r="F10" s="8">
        <v>0</v>
      </c>
      <c r="G10" s="8">
        <v>0</v>
      </c>
      <c r="H10" s="8">
        <f>D10*45+F10*12</f>
        <v>135</v>
      </c>
      <c r="I10" s="8">
        <v>6</v>
      </c>
      <c r="J10" s="8">
        <f>H10-I10</f>
        <v>129</v>
      </c>
      <c r="K10" s="9">
        <v>25731</v>
      </c>
      <c r="L10" s="9">
        <f>K10*J10</f>
        <v>3319299</v>
      </c>
      <c r="M10" s="10"/>
    </row>
    <row r="11" spans="1:16" ht="18" customHeight="1" x14ac:dyDescent="0.35">
      <c r="A11" s="11" t="s">
        <v>23</v>
      </c>
      <c r="B11" s="12"/>
      <c r="C11" s="12"/>
      <c r="D11" s="12">
        <f t="shared" ref="D11:J11" si="0">SUM(D10:D10)</f>
        <v>3</v>
      </c>
      <c r="E11" s="12">
        <f t="shared" si="0"/>
        <v>3</v>
      </c>
      <c r="F11" s="12">
        <f t="shared" si="0"/>
        <v>0</v>
      </c>
      <c r="G11" s="12">
        <f t="shared" si="0"/>
        <v>0</v>
      </c>
      <c r="H11" s="12">
        <f t="shared" si="0"/>
        <v>135</v>
      </c>
      <c r="I11" s="12">
        <f t="shared" si="0"/>
        <v>6</v>
      </c>
      <c r="J11" s="12">
        <f t="shared" si="0"/>
        <v>129</v>
      </c>
      <c r="K11" s="12"/>
      <c r="L11" s="13">
        <f>SUM(L10:L10)</f>
        <v>3319299</v>
      </c>
      <c r="M11" s="12"/>
    </row>
    <row r="12" spans="1:16" ht="18" customHeight="1" x14ac:dyDescent="0.35">
      <c r="A12" s="21" t="s">
        <v>24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4">
        <f>L11*0.08</f>
        <v>265543.92</v>
      </c>
    </row>
    <row r="13" spans="1:16" ht="18" customHeight="1" x14ac:dyDescent="0.35">
      <c r="A13" s="21" t="s">
        <v>25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4">
        <f>L11+L12</f>
        <v>3584842.92</v>
      </c>
    </row>
    <row r="14" spans="1:16" ht="18" customHeight="1" x14ac:dyDescent="0.35">
      <c r="A14" s="19" t="str">
        <f>"Tổng số tiền nợ tính từ 01/"&amp;TEXT($P$1,"00")&amp;"/"&amp;$P$2&amp;" đến "&amp;TEXT(DAY(DATE($P$2,$P$1+1,0)),"00")&amp;"/"&amp;TEXT($P$1,"00")&amp;"/"&amp;$P$2</f>
        <v>Tổng số tiền nợ tính từ 01/05/2026 đến 31/05/2026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4">
        <f>L13</f>
        <v>3584842.92</v>
      </c>
    </row>
    <row r="16" spans="1:16" ht="18" customHeight="1" x14ac:dyDescent="0.35">
      <c r="J16" s="20" t="str">
        <f>"TP Hồ Chí Minh, Ngày "&amp;TEXT(DAY(DATE($P$2,$P$1+1,0)),"00")&amp;" tháng "&amp;TEXT($P$1,"00")&amp;" năm "&amp;$P$2</f>
        <v>TP Hồ Chí Minh, Ngày 31 tháng 05 năm 2026</v>
      </c>
      <c r="K16" s="17"/>
      <c r="L16" s="17"/>
      <c r="M16" s="17"/>
    </row>
    <row r="17" spans="1:13" ht="18" customHeight="1" x14ac:dyDescent="0.35">
      <c r="A17" s="22" t="s">
        <v>26</v>
      </c>
      <c r="B17" s="17"/>
      <c r="C17" s="17"/>
      <c r="D17" s="17"/>
      <c r="J17" s="22" t="s">
        <v>27</v>
      </c>
      <c r="K17" s="17"/>
      <c r="L17" s="17"/>
      <c r="M17" s="17"/>
    </row>
  </sheetData>
  <mergeCells count="14">
    <mergeCell ref="A17:D17"/>
    <mergeCell ref="A5:N5"/>
    <mergeCell ref="J16:M16"/>
    <mergeCell ref="J17:M17"/>
    <mergeCell ref="O3:P3"/>
    <mergeCell ref="A3:N3"/>
    <mergeCell ref="A6:N6"/>
    <mergeCell ref="A4:N4"/>
    <mergeCell ref="A13:K13"/>
    <mergeCell ref="A1:N1"/>
    <mergeCell ref="A2:N2"/>
    <mergeCell ref="A7:N7"/>
    <mergeCell ref="A14:K14"/>
    <mergeCell ref="A12:K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7"/>
  <sheetViews>
    <sheetView topLeftCell="G1" workbookViewId="0">
      <selection activeCell="O2" sqref="O2"/>
    </sheetView>
  </sheetViews>
  <sheetFormatPr defaultRowHeight="14.5" x14ac:dyDescent="0.35"/>
  <cols>
    <col min="1" max="1" width="6" customWidth="1"/>
    <col min="2" max="2" width="13" customWidth="1"/>
    <col min="3" max="3" width="20" customWidth="1"/>
    <col min="4" max="7" width="8" customWidth="1"/>
    <col min="8" max="9" width="10" customWidth="1"/>
    <col min="10" max="10" width="13" customWidth="1"/>
    <col min="11" max="12" width="16" customWidth="1"/>
    <col min="13" max="13" width="14" customWidth="1"/>
  </cols>
  <sheetData>
    <row r="1" spans="1:16" ht="30" customHeight="1" x14ac:dyDescent="0.3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" t="s">
        <v>1</v>
      </c>
      <c r="P1" s="2">
        <v>5</v>
      </c>
    </row>
    <row r="2" spans="1:16" ht="22" customHeight="1" x14ac:dyDescent="0.35">
      <c r="A2" s="18" t="s">
        <v>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" t="s">
        <v>3</v>
      </c>
      <c r="P2" s="2">
        <v>2026</v>
      </c>
    </row>
    <row r="3" spans="1:16" ht="18" customHeight="1" x14ac:dyDescent="0.35">
      <c r="A3" s="24" t="str">
        <f>"(THÁNG "&amp;TEXT($P$1,"00")&amp;"/"&amp;$P$2&amp;")"</f>
        <v>(THÁNG 05/2026)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23" t="s">
        <v>4</v>
      </c>
      <c r="P3" s="17"/>
    </row>
    <row r="4" spans="1:16" ht="42" customHeight="1" x14ac:dyDescent="0.35">
      <c r="A4" s="25" t="s">
        <v>5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16" ht="16" customHeight="1" x14ac:dyDescent="0.35">
      <c r="A5" s="19" t="s">
        <v>6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1:16" ht="16" customHeight="1" x14ac:dyDescent="0.35">
      <c r="A6" s="19" t="str">
        <f>"1. Thời gian giao nhận: Từ 01/"&amp;TEXT($P$1,"00")&amp;"/"&amp;$P$2&amp;" đến "&amp;TEXT(DAY(DATE($P$2,$P$1+1,0)),"00")&amp;"/"&amp;TEXT($P$1,"00")&amp;"/"&amp;$P$2</f>
        <v>1. Thời gian giao nhận: Từ 01/05/2026 đến 31/05/2026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</row>
    <row r="7" spans="1:16" ht="16" customHeight="1" x14ac:dyDescent="0.35">
      <c r="A7" s="19" t="s">
        <v>7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</row>
    <row r="8" spans="1:16" ht="32" customHeight="1" x14ac:dyDescent="0.3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3" t="s">
        <v>16</v>
      </c>
      <c r="L8" s="3" t="s">
        <v>17</v>
      </c>
      <c r="M8" s="3" t="s">
        <v>18</v>
      </c>
    </row>
    <row r="9" spans="1:16" ht="16" customHeight="1" x14ac:dyDescent="0.35">
      <c r="A9" s="4"/>
      <c r="B9" s="4"/>
      <c r="C9" s="4"/>
      <c r="D9" s="4" t="s">
        <v>19</v>
      </c>
      <c r="E9" s="4" t="s">
        <v>19</v>
      </c>
      <c r="F9" s="4" t="s">
        <v>20</v>
      </c>
      <c r="G9" s="4" t="s">
        <v>20</v>
      </c>
      <c r="H9" s="4" t="s">
        <v>21</v>
      </c>
      <c r="I9" s="4" t="s">
        <v>21</v>
      </c>
      <c r="J9" s="4" t="s">
        <v>21</v>
      </c>
      <c r="K9" s="4"/>
      <c r="L9" s="4"/>
      <c r="M9" s="4"/>
    </row>
    <row r="10" spans="1:16" ht="18" customHeight="1" x14ac:dyDescent="0.35">
      <c r="A10" s="5">
        <v>1</v>
      </c>
      <c r="B10" s="6">
        <v>46149</v>
      </c>
      <c r="C10" s="7" t="s">
        <v>28</v>
      </c>
      <c r="D10" s="8">
        <v>3</v>
      </c>
      <c r="E10" s="8">
        <v>3</v>
      </c>
      <c r="F10" s="8">
        <v>0</v>
      </c>
      <c r="G10" s="8">
        <v>0</v>
      </c>
      <c r="H10" s="8">
        <f>D10*45+F10*12</f>
        <v>135</v>
      </c>
      <c r="I10" s="8">
        <v>4</v>
      </c>
      <c r="J10" s="8">
        <f>H10-I10</f>
        <v>131</v>
      </c>
      <c r="K10" s="9"/>
      <c r="L10" s="9">
        <f>K10*J10</f>
        <v>0</v>
      </c>
      <c r="M10" s="10"/>
    </row>
    <row r="11" spans="1:16" ht="18" customHeight="1" x14ac:dyDescent="0.35">
      <c r="A11" s="11" t="s">
        <v>23</v>
      </c>
      <c r="B11" s="12"/>
      <c r="C11" s="12"/>
      <c r="D11" s="12">
        <f t="shared" ref="D11:J11" si="0">SUM(D10:D10)</f>
        <v>3</v>
      </c>
      <c r="E11" s="12">
        <f t="shared" si="0"/>
        <v>3</v>
      </c>
      <c r="F11" s="12">
        <f t="shared" si="0"/>
        <v>0</v>
      </c>
      <c r="G11" s="12">
        <f t="shared" si="0"/>
        <v>0</v>
      </c>
      <c r="H11" s="12">
        <f t="shared" si="0"/>
        <v>135</v>
      </c>
      <c r="I11" s="12">
        <f t="shared" si="0"/>
        <v>4</v>
      </c>
      <c r="J11" s="12">
        <f t="shared" si="0"/>
        <v>131</v>
      </c>
      <c r="K11" s="12"/>
      <c r="L11" s="13">
        <f>SUM(L10:L10)</f>
        <v>0</v>
      </c>
      <c r="M11" s="12"/>
    </row>
    <row r="12" spans="1:16" ht="18" customHeight="1" x14ac:dyDescent="0.35">
      <c r="A12" s="21" t="s">
        <v>24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4">
        <f>L11*0.08</f>
        <v>0</v>
      </c>
    </row>
    <row r="13" spans="1:16" ht="18" customHeight="1" x14ac:dyDescent="0.35">
      <c r="A13" s="21" t="s">
        <v>25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4">
        <f>L11+L12</f>
        <v>0</v>
      </c>
    </row>
    <row r="14" spans="1:16" ht="18" customHeight="1" x14ac:dyDescent="0.35">
      <c r="A14" s="19" t="str">
        <f>"Tổng số tiền nợ tính từ 01/"&amp;TEXT($P$1,"00")&amp;"/"&amp;$P$2&amp;" đến "&amp;TEXT(DAY(DATE($P$2,$P$1+1,0)),"00")&amp;"/"&amp;TEXT($P$1,"00")&amp;"/"&amp;$P$2</f>
        <v>Tổng số tiền nợ tính từ 01/05/2026 đến 31/05/2026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4">
        <f>L13</f>
        <v>0</v>
      </c>
    </row>
    <row r="16" spans="1:16" ht="18" customHeight="1" x14ac:dyDescent="0.35">
      <c r="J16" s="20" t="str">
        <f>"TP Hồ Chí Minh, Ngày "&amp;TEXT(DAY(DATE($P$2,$P$1+1,0)),"00")&amp;" tháng "&amp;TEXT($P$1,"00")&amp;" năm "&amp;$P$2</f>
        <v>TP Hồ Chí Minh, Ngày 31 tháng 05 năm 2026</v>
      </c>
      <c r="K16" s="17"/>
      <c r="L16" s="17"/>
      <c r="M16" s="17"/>
    </row>
    <row r="17" spans="1:13" ht="18" customHeight="1" x14ac:dyDescent="0.35">
      <c r="A17" s="22" t="s">
        <v>26</v>
      </c>
      <c r="B17" s="17"/>
      <c r="C17" s="17"/>
      <c r="D17" s="17"/>
      <c r="J17" s="22" t="s">
        <v>27</v>
      </c>
      <c r="K17" s="17"/>
      <c r="L17" s="17"/>
      <c r="M17" s="17"/>
    </row>
  </sheetData>
  <mergeCells count="14">
    <mergeCell ref="A17:D17"/>
    <mergeCell ref="O3:P3"/>
    <mergeCell ref="A3:N3"/>
    <mergeCell ref="A6:N6"/>
    <mergeCell ref="A12:K12"/>
    <mergeCell ref="A4:N4"/>
    <mergeCell ref="J17:M17"/>
    <mergeCell ref="A1:N1"/>
    <mergeCell ref="A2:N2"/>
    <mergeCell ref="A7:N7"/>
    <mergeCell ref="A14:K14"/>
    <mergeCell ref="J16:M16"/>
    <mergeCell ref="A13:K13"/>
    <mergeCell ref="A5:N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7"/>
  <sheetViews>
    <sheetView topLeftCell="C1" workbookViewId="0">
      <selection activeCell="P2" sqref="P2"/>
    </sheetView>
  </sheetViews>
  <sheetFormatPr defaultRowHeight="14.5" x14ac:dyDescent="0.35"/>
  <cols>
    <col min="1" max="1" width="6" customWidth="1"/>
    <col min="2" max="2" width="13" customWidth="1"/>
    <col min="3" max="3" width="20" customWidth="1"/>
    <col min="4" max="7" width="8" customWidth="1"/>
    <col min="8" max="9" width="10" customWidth="1"/>
    <col min="10" max="10" width="13" customWidth="1"/>
    <col min="11" max="12" width="16" customWidth="1"/>
    <col min="13" max="13" width="14" customWidth="1"/>
  </cols>
  <sheetData>
    <row r="1" spans="1:16" ht="30" customHeight="1" x14ac:dyDescent="0.3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" t="s">
        <v>1</v>
      </c>
      <c r="P1" s="2">
        <v>5</v>
      </c>
    </row>
    <row r="2" spans="1:16" ht="22" customHeight="1" x14ac:dyDescent="0.35">
      <c r="A2" s="18" t="s">
        <v>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" t="s">
        <v>3</v>
      </c>
      <c r="P2" s="2">
        <v>2026</v>
      </c>
    </row>
    <row r="3" spans="1:16" ht="18" customHeight="1" x14ac:dyDescent="0.35">
      <c r="A3" s="24" t="str">
        <f>"(THÁNG "&amp;TEXT($P$1,"00")&amp;"/"&amp;$P$2&amp;")"</f>
        <v>(THÁNG 05/2026)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23" t="s">
        <v>4</v>
      </c>
      <c r="P3" s="17"/>
    </row>
    <row r="4" spans="1:16" ht="42" customHeight="1" x14ac:dyDescent="0.35">
      <c r="A4" s="25" t="s">
        <v>5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16" ht="16" customHeight="1" x14ac:dyDescent="0.35">
      <c r="A5" s="19" t="s">
        <v>6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1:16" ht="16" customHeight="1" x14ac:dyDescent="0.35">
      <c r="A6" s="19" t="str">
        <f>"1. Thời gian giao nhận: Từ 01/"&amp;TEXT($P$1,"00")&amp;"/"&amp;$P$2&amp;" đến "&amp;TEXT(DAY(DATE($P$2,$P$1+1,0)),"00")&amp;"/"&amp;TEXT($P$1,"00")&amp;"/"&amp;$P$2</f>
        <v>1. Thời gian giao nhận: Từ 01/05/2026 đến 31/05/2026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</row>
    <row r="7" spans="1:16" ht="16" customHeight="1" x14ac:dyDescent="0.35">
      <c r="A7" s="19" t="s">
        <v>7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</row>
    <row r="8" spans="1:16" ht="32" customHeight="1" x14ac:dyDescent="0.3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3" t="s">
        <v>16</v>
      </c>
      <c r="L8" s="3" t="s">
        <v>17</v>
      </c>
      <c r="M8" s="3" t="s">
        <v>18</v>
      </c>
    </row>
    <row r="9" spans="1:16" ht="16" customHeight="1" x14ac:dyDescent="0.35">
      <c r="A9" s="4"/>
      <c r="B9" s="4"/>
      <c r="C9" s="4"/>
      <c r="D9" s="4" t="s">
        <v>19</v>
      </c>
      <c r="E9" s="4" t="s">
        <v>19</v>
      </c>
      <c r="F9" s="4" t="s">
        <v>20</v>
      </c>
      <c r="G9" s="4" t="s">
        <v>20</v>
      </c>
      <c r="H9" s="4" t="s">
        <v>21</v>
      </c>
      <c r="I9" s="4" t="s">
        <v>21</v>
      </c>
      <c r="J9" s="4" t="s">
        <v>21</v>
      </c>
      <c r="K9" s="4"/>
      <c r="L9" s="4"/>
      <c r="M9" s="4"/>
    </row>
    <row r="10" spans="1:16" ht="18" customHeight="1" x14ac:dyDescent="0.35">
      <c r="A10" s="5">
        <v>1</v>
      </c>
      <c r="B10" s="6"/>
      <c r="C10" s="7" t="s">
        <v>29</v>
      </c>
      <c r="D10" s="8">
        <v>0</v>
      </c>
      <c r="E10" s="8">
        <v>0</v>
      </c>
      <c r="F10" s="8">
        <v>0</v>
      </c>
      <c r="G10" s="8">
        <v>0</v>
      </c>
      <c r="H10" s="8">
        <f>D10*45+F10*12</f>
        <v>0</v>
      </c>
      <c r="I10" s="8">
        <v>0</v>
      </c>
      <c r="J10" s="8">
        <f>H10-I10</f>
        <v>0</v>
      </c>
      <c r="K10" s="9">
        <v>23030</v>
      </c>
      <c r="L10" s="9">
        <f>K10*J10</f>
        <v>0</v>
      </c>
      <c r="M10" s="10"/>
    </row>
    <row r="11" spans="1:16" ht="18" customHeight="1" x14ac:dyDescent="0.35">
      <c r="A11" s="11" t="s">
        <v>23</v>
      </c>
      <c r="B11" s="12"/>
      <c r="C11" s="12"/>
      <c r="D11" s="12">
        <f t="shared" ref="D11:J11" si="0">SUM(D10:D10)</f>
        <v>0</v>
      </c>
      <c r="E11" s="12">
        <f t="shared" si="0"/>
        <v>0</v>
      </c>
      <c r="F11" s="12">
        <f t="shared" si="0"/>
        <v>0</v>
      </c>
      <c r="G11" s="12">
        <f t="shared" si="0"/>
        <v>0</v>
      </c>
      <c r="H11" s="12">
        <f t="shared" si="0"/>
        <v>0</v>
      </c>
      <c r="I11" s="12">
        <f t="shared" si="0"/>
        <v>0</v>
      </c>
      <c r="J11" s="12">
        <f t="shared" si="0"/>
        <v>0</v>
      </c>
      <c r="K11" s="12"/>
      <c r="L11" s="13">
        <f>SUM(L10:L10)</f>
        <v>0</v>
      </c>
      <c r="M11" s="12"/>
    </row>
    <row r="12" spans="1:16" ht="18" customHeight="1" x14ac:dyDescent="0.35">
      <c r="A12" s="21" t="s">
        <v>24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4">
        <f>L11*0.08</f>
        <v>0</v>
      </c>
    </row>
    <row r="13" spans="1:16" ht="18" customHeight="1" x14ac:dyDescent="0.35">
      <c r="A13" s="21" t="s">
        <v>25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4">
        <f>L11+L12</f>
        <v>0</v>
      </c>
    </row>
    <row r="14" spans="1:16" ht="18" customHeight="1" x14ac:dyDescent="0.35">
      <c r="A14" s="19" t="str">
        <f>"Tổng số tiền nợ tính từ 01/"&amp;TEXT($P$1,"00")&amp;"/"&amp;$P$2&amp;" đến "&amp;TEXT(DAY(DATE($P$2,$P$1+1,0)),"00")&amp;"/"&amp;TEXT($P$1,"00")&amp;"/"&amp;$P$2</f>
        <v>Tổng số tiền nợ tính từ 01/05/2026 đến 31/05/2026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4">
        <f>L13</f>
        <v>0</v>
      </c>
    </row>
    <row r="16" spans="1:16" ht="18" customHeight="1" x14ac:dyDescent="0.35">
      <c r="J16" s="20" t="str">
        <f>"TP Hồ Chí Minh, Ngày "&amp;TEXT(DAY(DATE($P$2,$P$1+1,0)),"00")&amp;" tháng "&amp;TEXT($P$1,"00")&amp;" năm "&amp;$P$2</f>
        <v>TP Hồ Chí Minh, Ngày 31 tháng 05 năm 2026</v>
      </c>
      <c r="K16" s="17"/>
      <c r="L16" s="17"/>
      <c r="M16" s="17"/>
    </row>
    <row r="17" spans="1:13" ht="18" customHeight="1" x14ac:dyDescent="0.35">
      <c r="A17" s="22" t="s">
        <v>26</v>
      </c>
      <c r="B17" s="17"/>
      <c r="C17" s="17"/>
      <c r="D17" s="17"/>
      <c r="J17" s="22" t="s">
        <v>27</v>
      </c>
      <c r="K17" s="17"/>
      <c r="L17" s="17"/>
      <c r="M17" s="17"/>
    </row>
  </sheetData>
  <mergeCells count="14">
    <mergeCell ref="A17:D17"/>
    <mergeCell ref="O3:P3"/>
    <mergeCell ref="A3:N3"/>
    <mergeCell ref="A6:N6"/>
    <mergeCell ref="A12:K12"/>
    <mergeCell ref="A4:N4"/>
    <mergeCell ref="J17:M17"/>
    <mergeCell ref="A1:N1"/>
    <mergeCell ref="A2:N2"/>
    <mergeCell ref="A7:N7"/>
    <mergeCell ref="A14:K14"/>
    <mergeCell ref="J16:M16"/>
    <mergeCell ref="A13:K13"/>
    <mergeCell ref="A5:N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7"/>
  <sheetViews>
    <sheetView topLeftCell="D1" workbookViewId="0">
      <selection sqref="A1:N1"/>
    </sheetView>
  </sheetViews>
  <sheetFormatPr defaultRowHeight="14.5" x14ac:dyDescent="0.35"/>
  <cols>
    <col min="1" max="1" width="6" customWidth="1"/>
    <col min="2" max="2" width="13" customWidth="1"/>
    <col min="3" max="3" width="20" customWidth="1"/>
    <col min="4" max="7" width="8" customWidth="1"/>
    <col min="8" max="9" width="10" customWidth="1"/>
    <col min="10" max="10" width="13" customWidth="1"/>
    <col min="11" max="12" width="16" customWidth="1"/>
    <col min="13" max="13" width="14" customWidth="1"/>
  </cols>
  <sheetData>
    <row r="1" spans="1:16" ht="30" customHeight="1" x14ac:dyDescent="0.3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" t="s">
        <v>1</v>
      </c>
      <c r="P1" s="2">
        <v>5</v>
      </c>
    </row>
    <row r="2" spans="1:16" ht="22" customHeight="1" x14ac:dyDescent="0.35">
      <c r="A2" s="18" t="s">
        <v>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" t="s">
        <v>3</v>
      </c>
      <c r="P2" s="2">
        <v>2026</v>
      </c>
    </row>
    <row r="3" spans="1:16" ht="18" customHeight="1" x14ac:dyDescent="0.35">
      <c r="A3" s="24" t="str">
        <f>"(THÁNG "&amp;TEXT($P$1,"00")&amp;"/"&amp;$P$2&amp;")"</f>
        <v>(THÁNG 05/2026)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23" t="s">
        <v>4</v>
      </c>
      <c r="P3" s="17"/>
    </row>
    <row r="4" spans="1:16" ht="42" customHeight="1" x14ac:dyDescent="0.35">
      <c r="A4" s="25" t="s">
        <v>5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16" ht="16" customHeight="1" x14ac:dyDescent="0.35">
      <c r="A5" s="19" t="s">
        <v>6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1:16" ht="16" customHeight="1" x14ac:dyDescent="0.35">
      <c r="A6" s="19" t="str">
        <f>"1. Thời gian giao nhận: Từ 01/"&amp;TEXT($P$1,"00")&amp;"/"&amp;$P$2&amp;" đến "&amp;TEXT(DAY(DATE($P$2,$P$1+1,0)),"00")&amp;"/"&amp;TEXT($P$1,"00")&amp;"/"&amp;$P$2</f>
        <v>1. Thời gian giao nhận: Từ 01/05/2026 đến 31/05/2026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</row>
    <row r="7" spans="1:16" ht="16" customHeight="1" x14ac:dyDescent="0.35">
      <c r="A7" s="19" t="s">
        <v>7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</row>
    <row r="8" spans="1:16" ht="32" customHeight="1" x14ac:dyDescent="0.3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3" t="s">
        <v>16</v>
      </c>
      <c r="L8" s="3" t="s">
        <v>17</v>
      </c>
      <c r="M8" s="3" t="s">
        <v>18</v>
      </c>
    </row>
    <row r="9" spans="1:16" ht="16" customHeight="1" x14ac:dyDescent="0.35">
      <c r="A9" s="4"/>
      <c r="B9" s="4"/>
      <c r="C9" s="4"/>
      <c r="D9" s="4" t="s">
        <v>19</v>
      </c>
      <c r="E9" s="4" t="s">
        <v>19</v>
      </c>
      <c r="F9" s="4" t="s">
        <v>20</v>
      </c>
      <c r="G9" s="4" t="s">
        <v>20</v>
      </c>
      <c r="H9" s="4" t="s">
        <v>21</v>
      </c>
      <c r="I9" s="4" t="s">
        <v>21</v>
      </c>
      <c r="J9" s="4" t="s">
        <v>21</v>
      </c>
      <c r="K9" s="4"/>
      <c r="L9" s="4"/>
      <c r="M9" s="4"/>
    </row>
    <row r="10" spans="1:16" ht="18" customHeight="1" x14ac:dyDescent="0.35">
      <c r="A10" s="5">
        <v>1</v>
      </c>
      <c r="B10" s="6">
        <v>46162</v>
      </c>
      <c r="C10" s="7" t="s">
        <v>30</v>
      </c>
      <c r="D10" s="15">
        <v>15</v>
      </c>
      <c r="E10" s="15">
        <v>12</v>
      </c>
      <c r="F10" s="8">
        <v>0</v>
      </c>
      <c r="G10" s="8">
        <v>0</v>
      </c>
      <c r="H10" s="8">
        <f>D10*45+F10*12</f>
        <v>675</v>
      </c>
      <c r="I10" s="8">
        <v>86</v>
      </c>
      <c r="J10" s="8">
        <f>H10-I10</f>
        <v>589</v>
      </c>
      <c r="K10" s="9"/>
      <c r="L10" s="9">
        <f>K10*J10</f>
        <v>0</v>
      </c>
      <c r="M10" s="10"/>
    </row>
    <row r="11" spans="1:16" ht="18" customHeight="1" x14ac:dyDescent="0.35">
      <c r="A11" s="11" t="s">
        <v>23</v>
      </c>
      <c r="B11" s="12"/>
      <c r="C11" s="12"/>
      <c r="D11" s="12">
        <f t="shared" ref="D11:J11" si="0">SUM(D10:D10)</f>
        <v>15</v>
      </c>
      <c r="E11" s="12">
        <f t="shared" si="0"/>
        <v>12</v>
      </c>
      <c r="F11" s="12">
        <f t="shared" si="0"/>
        <v>0</v>
      </c>
      <c r="G11" s="12">
        <f t="shared" si="0"/>
        <v>0</v>
      </c>
      <c r="H11" s="12">
        <f t="shared" si="0"/>
        <v>675</v>
      </c>
      <c r="I11" s="12">
        <f t="shared" si="0"/>
        <v>86</v>
      </c>
      <c r="J11" s="12">
        <f t="shared" si="0"/>
        <v>589</v>
      </c>
      <c r="K11" s="12"/>
      <c r="L11" s="13">
        <f>SUM(L10:L10)</f>
        <v>0</v>
      </c>
      <c r="M11" s="12"/>
    </row>
    <row r="12" spans="1:16" ht="18" customHeight="1" x14ac:dyDescent="0.35">
      <c r="A12" s="21" t="s">
        <v>24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4">
        <f>L11*0.08</f>
        <v>0</v>
      </c>
    </row>
    <row r="13" spans="1:16" ht="18" customHeight="1" x14ac:dyDescent="0.35">
      <c r="A13" s="21" t="s">
        <v>25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4">
        <f>L11+L12</f>
        <v>0</v>
      </c>
    </row>
    <row r="14" spans="1:16" ht="18" customHeight="1" x14ac:dyDescent="0.35">
      <c r="A14" s="19" t="str">
        <f>"Tổng số tiền nợ tính từ 01/"&amp;TEXT($P$1,"00")&amp;"/"&amp;$P$2&amp;" đến "&amp;TEXT(DAY(DATE($P$2,$P$1+1,0)),"00")&amp;"/"&amp;TEXT($P$1,"00")&amp;"/"&amp;$P$2</f>
        <v>Tổng số tiền nợ tính từ 01/05/2026 đến 31/05/2026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4">
        <f>L13</f>
        <v>0</v>
      </c>
    </row>
    <row r="16" spans="1:16" ht="18" customHeight="1" x14ac:dyDescent="0.35">
      <c r="J16" s="20" t="str">
        <f>"TP Hồ Chí Minh, Ngày "&amp;TEXT(DAY(DATE($P$2,$P$1+1,0)),"00")&amp;" tháng "&amp;TEXT($P$1,"00")&amp;" năm "&amp;$P$2</f>
        <v>TP Hồ Chí Minh, Ngày 31 tháng 05 năm 2026</v>
      </c>
      <c r="K16" s="17"/>
      <c r="L16" s="17"/>
      <c r="M16" s="17"/>
    </row>
    <row r="17" spans="1:13" ht="18" customHeight="1" x14ac:dyDescent="0.35">
      <c r="A17" s="22" t="s">
        <v>26</v>
      </c>
      <c r="B17" s="17"/>
      <c r="C17" s="17"/>
      <c r="D17" s="17"/>
      <c r="J17" s="22" t="s">
        <v>27</v>
      </c>
      <c r="K17" s="17"/>
      <c r="L17" s="17"/>
      <c r="M17" s="17"/>
    </row>
  </sheetData>
  <mergeCells count="14">
    <mergeCell ref="A17:D17"/>
    <mergeCell ref="O3:P3"/>
    <mergeCell ref="A3:N3"/>
    <mergeCell ref="A6:N6"/>
    <mergeCell ref="A12:K12"/>
    <mergeCell ref="A4:N4"/>
    <mergeCell ref="J17:M17"/>
    <mergeCell ref="A1:N1"/>
    <mergeCell ref="A2:N2"/>
    <mergeCell ref="A7:N7"/>
    <mergeCell ref="A14:K14"/>
    <mergeCell ref="J16:M16"/>
    <mergeCell ref="A13:K13"/>
    <mergeCell ref="A5:N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DONG IN</vt:lpstr>
      <vt:lpstr>BOOMIN VIỆT</vt:lpstr>
      <vt:lpstr>BOOMIN HÀN</vt:lpstr>
      <vt:lpstr>NOVAS</vt:lpstr>
      <vt:lpstr>DOOIL</vt:lpstr>
      <vt:lpstr>BEESCO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Khanh Vu An</cp:lastModifiedBy>
  <dcterms:created xsi:type="dcterms:W3CDTF">2026-05-25T06:21:04Z</dcterms:created>
  <dcterms:modified xsi:type="dcterms:W3CDTF">2026-05-25T06:31:06Z</dcterms:modified>
</cp:coreProperties>
</file>