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ông nợ" sheetId="1" r:id="rId4"/>
  </sheets>
  <definedNames/>
  <calcPr/>
  <extLst>
    <ext uri="GoogleSheetsCustomDataVersion2">
      <go:sheetsCustomData xmlns:go="http://customooxmlschemas.google.com/" r:id="rId5" roundtripDataChecksum="wfwSQ07uUTFmqy4X6LYT0xLMrhIlE940lJ5ILrBGopc="/>
    </ext>
  </extLst>
</workbook>
</file>

<file path=xl/sharedStrings.xml><?xml version="1.0" encoding="utf-8"?>
<sst xmlns="http://schemas.openxmlformats.org/spreadsheetml/2006/main" count="36" uniqueCount="28">
  <si>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</si>
  <si>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</si>
  <si>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</si>
  <si>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</si>
  <si>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 này)</t>
  </si>
  <si>
    <t xml:space="preserve">KHÁCH HÀNG: MỲ CAY SEOUL VƯỜN LÀI TÂN PHÚ
ĐỊA CHỈ: 
MST: 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</si>
  <si>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</si>
  <si>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</si>
  <si>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</si>
  <si>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</si>
  <si>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</si>
  <si>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</si>
  <si>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</si>
  <si>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</si>
  <si>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</si>
  <si>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</si>
  <si>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</si>
  <si>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</si>
  <si>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</si>
  <si>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</si>
  <si>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</si>
  <si>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</si>
  <si>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SEOUL TÂN PHÚ</t>
  </si>
  <si>
    <t>TỔNG</t>
  </si>
  <si>
    <t>Thuế GTGT (8%)</t>
  </si>
  <si>
    <t>Tổng tiền hàng (bao gồm GTGT 8%) là:</t>
  </si>
  <si>
    <t>Xác nhận của khách hàng</t>
  </si>
  <si>
    <t>Người lập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</si>
</sst>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_(* #,##0_);_(* \(#,##0\);_(* &quot;-&quot;??_);_(@_)"/>
    <numFmt numFmtId="166" formatCode="#,##0.0"/>
  </numFmts>
  <fonts count="8">
    <font>
      <sz val="11.0"/>
      <color theme="1"/>
      <name val="Calibri"/>
      <scheme val="minor"/>
    </font>
    <font>
      <b/>
      <sz val="10.0"/>
      <color theme="1"/>
      <name val="Arial"/>
    </font>
    <font>
      <b/>
      <sz val="11.0"/>
      <color theme="1"/>
      <name val="Arial"/>
    </font>
    <font>
      <b/>
      <sz val="13.0"/>
      <color theme="1"/>
      <name val="Arial"/>
    </font>
    <font>
      <i/>
      <sz val="8.0"/>
      <color rgb="FF888888"/>
      <name val="Arial"/>
    </font>
    <font>
      <sz val="10.0"/>
      <color theme="1"/>
      <name val="Arial"/>
    </font>
    <font>
      <i/>
      <sz val="9.0"/>
      <color theme="1"/>
      <name val="Arial"/>
    </font>
    <font>
      <i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6DCE4"/>
        <bgColor rgb="FFD6DCE4"/>
      </patternFill>
    </fill>
    <fill>
      <patternFill patternType="solid">
        <fgColor rgb="FFE9EDF1"/>
        <bgColor rgb="FFE9EDF1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4" numFmtId="0" xfId="0" applyFont="1"/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0" fontId="5" numFmtId="3" xfId="0" applyAlignment="1" applyBorder="1" applyFont="1" applyNumberFormat="1">
      <alignment horizontal="left" vertical="center"/>
    </xf>
    <xf borderId="1" fillId="0" fontId="5" numFmtId="165" xfId="0" applyAlignment="1" applyBorder="1" applyFont="1" applyNumberFormat="1">
      <alignment horizontal="right" vertical="center"/>
    </xf>
    <xf borderId="1" fillId="0" fontId="5" numFmtId="3" xfId="0" applyAlignment="1" applyBorder="1" applyFont="1" applyNumberFormat="1">
      <alignment horizontal="right" vertical="center"/>
    </xf>
    <xf borderId="1" fillId="0" fontId="5" numFmtId="166" xfId="0" applyAlignment="1" applyBorder="1" applyFont="1" applyNumberFormat="1">
      <alignment horizontal="right" vertical="center"/>
    </xf>
    <xf borderId="1" fillId="5" fontId="5" numFmtId="0" xfId="0" applyAlignment="1" applyBorder="1" applyFill="1" applyFont="1">
      <alignment horizontal="right" vertical="center"/>
    </xf>
    <xf borderId="1" fillId="0" fontId="5" numFmtId="0" xfId="0" applyAlignment="1" applyBorder="1" applyFont="1">
      <alignment horizontal="right" vertical="center"/>
    </xf>
    <xf borderId="1" fillId="0" fontId="5" numFmtId="164" xfId="0" applyAlignment="1" applyBorder="1" applyFont="1" applyNumberFormat="1">
      <alignment horizontal="center" readingOrder="0" vertical="center"/>
    </xf>
    <xf borderId="1" fillId="0" fontId="5" numFmtId="165" xfId="0" applyAlignment="1" applyBorder="1" applyFont="1" applyNumberFormat="1">
      <alignment horizontal="right" readingOrder="0" vertical="center"/>
    </xf>
    <xf borderId="1" fillId="6" fontId="1" numFmtId="0" xfId="0" applyAlignment="1" applyBorder="1" applyFill="1" applyFont="1">
      <alignment horizontal="left" vertical="center"/>
    </xf>
    <xf borderId="1" fillId="6" fontId="1" numFmtId="0" xfId="0" applyAlignment="1" applyBorder="1" applyFont="1">
      <alignment horizontal="right" vertical="center"/>
    </xf>
    <xf borderId="1" fillId="6" fontId="1" numFmtId="165" xfId="0" applyAlignment="1" applyBorder="1" applyFont="1" applyNumberFormat="1">
      <alignment horizontal="right" vertical="center"/>
    </xf>
    <xf borderId="0" fillId="0" fontId="5" numFmtId="0" xfId="0" applyFont="1"/>
    <xf borderId="0" fillId="0" fontId="1" numFmtId="3" xfId="0" applyAlignment="1" applyFont="1" applyNumberFormat="1">
      <alignment horizontal="right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3" width="20.0"/>
    <col customWidth="1" min="4" max="7" width="8.0"/>
    <col customWidth="1" min="8" max="9" width="10.0"/>
    <col customWidth="1" min="10" max="10" width="13.0"/>
    <col customWidth="1" min="11" max="12" width="16.0"/>
    <col customWidth="1" min="13" max="13" width="14.0"/>
    <col customWidth="1" min="14" max="26" width="8.71"/>
  </cols>
  <sheetData>
    <row r="1" ht="30.0" customHeight="1">
      <c r="A1" s="1" t="s">
        <v>0</v>
      </c>
      <c r="O1" s="2" t="s">
        <v>1</v>
      </c>
      <c r="P1" s="3">
        <v>5.0</v>
      </c>
    </row>
    <row r="2" ht="21.75" customHeight="1">
      <c r="A2" s="4" t="s">
        <v>2</v>
      </c>
      <c r="O2" s="2" t="s">
        <v>3</v>
      </c>
      <c r="P2" s="3">
        <v>2026.0</v>
      </c>
    </row>
    <row r="3" ht="18.0" customHeight="1">
      <c r="A3" s="5" t="str">
        <f>"(THÁNG "&amp;TEXT($P$1,"00")&amp;"/"&amp;$P$2&amp;")"</f>
        <v>(THÁNG 05/2026)</v>
      </c>
      <c r="O3" s="6" t="s">
        <v>4</v>
      </c>
    </row>
    <row r="4" ht="42.0" customHeight="1">
      <c r="A4" s="7" t="s">
        <v>5</v>
      </c>
    </row>
    <row r="5" ht="15.75" customHeight="1">
      <c r="A5" s="8" t="s">
        <v>6</v>
      </c>
    </row>
    <row r="6" ht="15.75" customHeight="1">
      <c r="A6" s="8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</row>
    <row r="7" ht="15.75" customHeight="1">
      <c r="A7" s="8" t="s">
        <v>7</v>
      </c>
    </row>
    <row r="8" ht="31.5" customHeight="1">
      <c r="A8" s="9" t="s">
        <v>8</v>
      </c>
      <c r="B8" s="9" t="s">
        <v>9</v>
      </c>
      <c r="C8" s="9" t="s">
        <v>10</v>
      </c>
      <c r="D8" s="9" t="s">
        <v>11</v>
      </c>
      <c r="E8" s="9" t="s">
        <v>12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</row>
    <row r="9" ht="15.75" customHeight="1">
      <c r="A9" s="10"/>
      <c r="B9" s="10"/>
      <c r="C9" s="10"/>
      <c r="D9" s="10" t="s">
        <v>19</v>
      </c>
      <c r="E9" s="10" t="s">
        <v>19</v>
      </c>
      <c r="F9" s="10" t="s">
        <v>20</v>
      </c>
      <c r="G9" s="10" t="s">
        <v>20</v>
      </c>
      <c r="H9" s="10" t="s">
        <v>21</v>
      </c>
      <c r="I9" s="10" t="s">
        <v>21</v>
      </c>
      <c r="J9" s="10" t="s">
        <v>21</v>
      </c>
      <c r="K9" s="10"/>
      <c r="L9" s="10"/>
      <c r="M9" s="10"/>
    </row>
    <row r="10" ht="18.0" customHeight="1">
      <c r="A10" s="11">
        <v>1.0</v>
      </c>
      <c r="B10" s="12">
        <v>46153.0</v>
      </c>
      <c r="C10" s="13" t="s">
        <v>22</v>
      </c>
      <c r="D10" s="14">
        <v>4.0</v>
      </c>
      <c r="E10" s="14">
        <v>4.0</v>
      </c>
      <c r="F10" s="14">
        <v>0.0</v>
      </c>
      <c r="G10" s="14">
        <v>0.0</v>
      </c>
      <c r="H10" s="15">
        <f t="shared" ref="H10:H12" si="1">D10*45+ F10*12</f>
        <v>180</v>
      </c>
      <c r="I10" s="14">
        <v>5.0</v>
      </c>
      <c r="J10" s="16">
        <f t="shared" ref="J10:J12" si="2">H10-I10</f>
        <v>175</v>
      </c>
      <c r="K10" s="17"/>
      <c r="L10" s="15">
        <f t="shared" ref="L10:L12" si="3">J10*K10</f>
        <v>0</v>
      </c>
      <c r="M10" s="18"/>
    </row>
    <row r="11" ht="18.0" customHeight="1">
      <c r="A11" s="11">
        <v>2.0</v>
      </c>
      <c r="B11" s="12">
        <v>46149.0</v>
      </c>
      <c r="C11" s="13" t="s">
        <v>22</v>
      </c>
      <c r="D11" s="14">
        <v>3.0</v>
      </c>
      <c r="E11" s="14">
        <v>3.0</v>
      </c>
      <c r="F11" s="14">
        <v>0.0</v>
      </c>
      <c r="G11" s="14">
        <v>0.0</v>
      </c>
      <c r="H11" s="15">
        <f t="shared" si="1"/>
        <v>135</v>
      </c>
      <c r="I11" s="14">
        <v>3.9</v>
      </c>
      <c r="J11" s="16">
        <f t="shared" si="2"/>
        <v>131.1</v>
      </c>
      <c r="K11" s="17"/>
      <c r="L11" s="15">
        <f t="shared" si="3"/>
        <v>0</v>
      </c>
      <c r="M11" s="18"/>
    </row>
    <row r="12" ht="18.0" customHeight="1">
      <c r="A12" s="11">
        <v>3.0</v>
      </c>
      <c r="B12" s="19">
        <v>46164.0</v>
      </c>
      <c r="C12" s="13" t="s">
        <v>22</v>
      </c>
      <c r="D12" s="20">
        <v>3.0</v>
      </c>
      <c r="E12" s="20">
        <v>3.0</v>
      </c>
      <c r="F12" s="20">
        <v>0.0</v>
      </c>
      <c r="G12" s="20">
        <v>0.0</v>
      </c>
      <c r="H12" s="15">
        <f t="shared" si="1"/>
        <v>135</v>
      </c>
      <c r="I12" s="20">
        <v>0.0</v>
      </c>
      <c r="J12" s="16">
        <f t="shared" si="2"/>
        <v>135</v>
      </c>
      <c r="K12" s="17"/>
      <c r="L12" s="15">
        <f t="shared" si="3"/>
        <v>0</v>
      </c>
      <c r="M12" s="18"/>
    </row>
    <row r="13" ht="18.0" customHeight="1">
      <c r="A13" s="21" t="s">
        <v>23</v>
      </c>
      <c r="B13" s="22"/>
      <c r="C13" s="22"/>
      <c r="D13" s="23">
        <f t="shared" ref="D13:J13" si="4">SUM(D10:D12)</f>
        <v>10</v>
      </c>
      <c r="E13" s="23">
        <f t="shared" si="4"/>
        <v>10</v>
      </c>
      <c r="F13" s="23">
        <f t="shared" si="4"/>
        <v>0</v>
      </c>
      <c r="G13" s="23">
        <f t="shared" si="4"/>
        <v>0</v>
      </c>
      <c r="H13" s="23">
        <f t="shared" si="4"/>
        <v>450</v>
      </c>
      <c r="I13" s="23">
        <f t="shared" si="4"/>
        <v>8.9</v>
      </c>
      <c r="J13" s="23">
        <f t="shared" si="4"/>
        <v>441.1</v>
      </c>
      <c r="K13" s="22"/>
      <c r="L13" s="23">
        <f>SUM(L10:L12)</f>
        <v>0</v>
      </c>
      <c r="M13" s="22"/>
    </row>
    <row r="14" ht="18.0" customHeight="1">
      <c r="A14" s="24" t="s">
        <v>24</v>
      </c>
      <c r="L14" s="25">
        <f>L13*0.08</f>
        <v>0</v>
      </c>
    </row>
    <row r="15" ht="18.0" customHeight="1">
      <c r="A15" s="24" t="s">
        <v>25</v>
      </c>
      <c r="L15" s="25">
        <f>L13+L14</f>
        <v>0</v>
      </c>
    </row>
    <row r="16" ht="9.75" customHeight="1">
      <c r="A16" s="8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L16" s="25">
        <f>L15</f>
        <v>0</v>
      </c>
    </row>
    <row r="17" ht="18.0" customHeight="1"/>
    <row r="18" ht="18.0" customHeight="1">
      <c r="J18" s="26" t="str">
        <f>"TP Hồ Chí Minh, Ngày "&amp;TEXT(DAY(DATE($P$2,$P$1+1,0)),"00")&amp;" tháng "&amp;TEXT($P$1,"00")&amp;" năm "&amp;$P$2</f>
        <v>TP Hồ Chí Minh, Ngày 31 tháng 05 năm 2026</v>
      </c>
    </row>
    <row r="19" ht="14.25" customHeight="1">
      <c r="A19" s="27" t="s">
        <v>26</v>
      </c>
      <c r="J19" s="27" t="s">
        <v>27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1:N1"/>
    <mergeCell ref="A2:N2"/>
    <mergeCell ref="A3:N3"/>
    <mergeCell ref="O3:P3"/>
    <mergeCell ref="A4:N4"/>
    <mergeCell ref="A5:N5"/>
    <mergeCell ref="A6:N6"/>
    <mergeCell ref="A7:N7"/>
    <mergeCell ref="J19:M19"/>
    <mergeCell ref="A19:D19"/>
    <mergeCell ref="J18:M18"/>
    <mergeCell ref="A16:K16"/>
    <mergeCell ref="A15:K15"/>
    <mergeCell ref="A14:K1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2026-05-25T04:01:05Z</dcterms:created>
  <dc:creator>openpyxl</dc:creator>
</cp:coreProperties>
</file>