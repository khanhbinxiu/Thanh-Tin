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%" sheetId="1" r:id="rId4"/>
    <sheet state="visible" name="Chi tiết" sheetId="2" r:id="rId5"/>
  </sheets>
  <definedNames>
    <definedName hidden="1" localSheetId="1" name="_xlnm._FilterDatabase">'Chi tiết'!$A$1:$M$5</definedName>
  </definedNames>
  <calcPr/>
  <extLst>
    <ext uri="GoogleSheetsCustomDataVersion2">
      <go:sheetsCustomData xmlns:go="http://customooxmlschemas.google.com/" r:id="rId6" roundtripDataChecksum="9PNQwmK9/jCJ2baO0LXubprROcNuLMvwPu1ZEJ+ruqQ="/>
    </ext>
  </extLst>
</workbook>
</file>

<file path=xl/sharedStrings.xml><?xml version="1.0" encoding="utf-8"?>
<sst xmlns="http://schemas.openxmlformats.org/spreadsheetml/2006/main" count="64" uniqueCount="45">
  <si>
    <t>BẢNG KÊ CHI TIẾT SỐ 05/2026</t>
  </si>
  <si>
    <t>Ngày 31 tháng 05 năm 2026</t>
  </si>
  <si>
    <t>Kèm theo hóa đơn số 00000025  Ngày 27 tháng 05 năm 2026</t>
  </si>
  <si>
    <t>Đơn vị bán hàng: Công ty TNHH TM DV THÀNH TÍN LBG</t>
  </si>
  <si>
    <t>Địa chỉ:115/22/60 Bis, Đường Nguyễn Du, Phường Bến Thành, Thành Phố Hồ Chí Minh</t>
  </si>
  <si>
    <t>Mã số thuế: 0317961718</t>
  </si>
  <si>
    <t>Đơn vị mua hàng:  Chi Nhánh Công ty TNHH Olive Tại Miền Nam</t>
  </si>
  <si>
    <t xml:space="preserve">Địa chỉ: </t>
  </si>
  <si>
    <t>MST: 0107622324-004</t>
  </si>
  <si>
    <t xml:space="preserve">Ngày hạch toán </t>
  </si>
  <si>
    <t>Mã hàng</t>
  </si>
  <si>
    <t>Tên hàng</t>
  </si>
  <si>
    <t>Đơn vị tính</t>
  </si>
  <si>
    <t>Số lượng mua</t>
  </si>
  <si>
    <t>Đơn giá</t>
  </si>
  <si>
    <t>Thành tiền trước VAT</t>
  </si>
  <si>
    <t>VAT 8%</t>
  </si>
  <si>
    <t>Thành tiền sau VAT</t>
  </si>
  <si>
    <t>Tên Bếp</t>
  </si>
  <si>
    <t>Khí hoá lỏng (LPG)</t>
  </si>
  <si>
    <t>Kg</t>
  </si>
  <si>
    <t>BUCHEON ĐỒNG NAI</t>
  </si>
  <si>
    <t>Tổng Bếp BUCHEON ĐỒNG NAI</t>
  </si>
  <si>
    <t>KNK LONG AN</t>
  </si>
  <si>
    <t>Tổng Bếp KNK LONG AN</t>
  </si>
  <si>
    <t>DREAM VĨNH LONG</t>
  </si>
  <si>
    <t>Tổng Bếp DREAM VĨNH LONG</t>
  </si>
  <si>
    <t>Tổng cộng</t>
  </si>
  <si>
    <t>Người bán hàng</t>
  </si>
  <si>
    <t>Người mua hàng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</si>
  <si>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</si>
  <si>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</si>
  <si>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</si>
  <si>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</si>
  <si>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</si>
  <si>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</si>
  <si>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</si>
  <si>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</si>
  <si>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</si>
  <si>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</si>
  <si>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</si>
  <si>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</si>
  <si>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</si>
  <si>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Olive bucheon</t>
  </si>
  <si>
    <t>Olive Dream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</si>
</sst>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"/>
    <numFmt numFmtId="166" formatCode="_(* #,##0_);_(* \(#,##0\);_(* &quot;-&quot;??_);_(@_)"/>
    <numFmt numFmtId="167" formatCode="_(* #,##0.0000_);_(* \(#,##0.0000\);_(* &quot;-&quot;??_);_(@_)"/>
  </numFmts>
  <fonts count="12">
    <font>
      <sz val="11.0"/>
      <color theme="1"/>
      <name val="Calibri"/>
      <scheme val="minor"/>
    </font>
    <font>
      <b/>
      <sz val="16.0"/>
      <color rgb="FF1F4E79"/>
      <name val="Calibri"/>
    </font>
    <font>
      <b/>
      <i/>
      <sz val="11.0"/>
      <color theme="1"/>
      <name val="Calibri"/>
    </font>
    <font>
      <b/>
      <i/>
      <sz val="11.0"/>
      <color rgb="FFFFFFFF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0.0"/>
      <color theme="1"/>
      <name val="Calibri"/>
    </font>
    <font/>
    <font>
      <b/>
      <sz val="12.0"/>
      <color rgb="FFFFFFFF"/>
      <name val="Calibri"/>
    </font>
    <font>
      <color theme="1"/>
      <name val="Calibri"/>
      <scheme val="minor"/>
    </font>
    <font>
      <b/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8F9F9"/>
        <bgColor rgb="FFF8F9F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6EAF8"/>
        <bgColor rgb="FFD6EAF8"/>
      </patternFill>
    </fill>
    <fill>
      <patternFill patternType="solid">
        <fgColor rgb="FF85C1E9"/>
        <bgColor rgb="FF85C1E9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2" fillId="3" fontId="6" numFmtId="164" xfId="0" applyAlignment="1" applyBorder="1" applyFill="1" applyFont="1" applyNumberFormat="1">
      <alignment horizontal="center" shrinkToFit="0" vertical="center" wrapText="1"/>
    </xf>
    <xf borderId="2" fillId="3" fontId="6" numFmtId="0" xfId="0" applyAlignment="1" applyBorder="1" applyFont="1">
      <alignment vertical="center"/>
    </xf>
    <xf borderId="2" fillId="3" fontId="6" numFmtId="0" xfId="0" applyAlignment="1" applyBorder="1" applyFont="1">
      <alignment horizontal="left" vertical="center"/>
    </xf>
    <xf borderId="2" fillId="3" fontId="6" numFmtId="0" xfId="0" applyAlignment="1" applyBorder="1" applyFont="1">
      <alignment horizontal="center" vertical="center"/>
    </xf>
    <xf borderId="2" fillId="3" fontId="6" numFmtId="165" xfId="0" applyAlignment="1" applyBorder="1" applyFont="1" applyNumberFormat="1">
      <alignment horizontal="right" vertical="center"/>
    </xf>
    <xf borderId="2" fillId="4" fontId="7" numFmtId="3" xfId="0" applyAlignment="1" applyBorder="1" applyFill="1" applyFont="1" applyNumberFormat="1">
      <alignment horizontal="right" readingOrder="0" shrinkToFit="0" vertical="center" wrapText="1"/>
    </xf>
    <xf borderId="2" fillId="3" fontId="6" numFmtId="3" xfId="0" applyAlignment="1" applyBorder="1" applyFont="1" applyNumberFormat="1">
      <alignment horizontal="right" vertical="center"/>
    </xf>
    <xf borderId="2" fillId="5" fontId="6" numFmtId="164" xfId="0" applyAlignment="1" applyBorder="1" applyFill="1" applyFont="1" applyNumberFormat="1">
      <alignment horizontal="center" shrinkToFit="0" vertical="center" wrapText="1"/>
    </xf>
    <xf borderId="2" fillId="5" fontId="6" numFmtId="0" xfId="0" applyAlignment="1" applyBorder="1" applyFont="1">
      <alignment vertical="center"/>
    </xf>
    <xf borderId="2" fillId="5" fontId="6" numFmtId="0" xfId="0" applyAlignment="1" applyBorder="1" applyFont="1">
      <alignment horizontal="left" vertical="center"/>
    </xf>
    <xf borderId="2" fillId="5" fontId="6" numFmtId="0" xfId="0" applyAlignment="1" applyBorder="1" applyFont="1">
      <alignment horizontal="center" vertical="center"/>
    </xf>
    <xf borderId="2" fillId="5" fontId="6" numFmtId="165" xfId="0" applyAlignment="1" applyBorder="1" applyFont="1" applyNumberFormat="1">
      <alignment horizontal="right" vertical="center"/>
    </xf>
    <xf borderId="2" fillId="5" fontId="6" numFmtId="3" xfId="0" applyAlignment="1" applyBorder="1" applyFont="1" applyNumberFormat="1">
      <alignment horizontal="right" vertical="center"/>
    </xf>
    <xf borderId="3" fillId="6" fontId="4" numFmtId="0" xfId="0" applyAlignment="1" applyBorder="1" applyFill="1" applyFont="1">
      <alignment horizontal="center" vertical="center"/>
    </xf>
    <xf borderId="4" fillId="0" fontId="8" numFmtId="0" xfId="0" applyBorder="1" applyFont="1"/>
    <xf borderId="5" fillId="0" fontId="8" numFmtId="0" xfId="0" applyBorder="1" applyFont="1"/>
    <xf borderId="2" fillId="6" fontId="4" numFmtId="165" xfId="0" applyAlignment="1" applyBorder="1" applyFont="1" applyNumberFormat="1">
      <alignment horizontal="right" vertical="center"/>
    </xf>
    <xf borderId="2" fillId="6" fontId="4" numFmtId="3" xfId="0" applyAlignment="1" applyBorder="1" applyFont="1" applyNumberFormat="1">
      <alignment horizontal="right" vertical="center"/>
    </xf>
    <xf borderId="2" fillId="6" fontId="4" numFmtId="166" xfId="0" applyAlignment="1" applyBorder="1" applyFont="1" applyNumberFormat="1">
      <alignment horizontal="left" vertical="center"/>
    </xf>
    <xf borderId="0" fillId="0" fontId="6" numFmtId="166" xfId="0" applyFont="1" applyNumberFormat="1"/>
    <xf borderId="6" fillId="0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right" vertical="center"/>
    </xf>
    <xf borderId="0" fillId="0" fontId="4" numFmtId="3" xfId="0" applyAlignment="1" applyFont="1" applyNumberFormat="1">
      <alignment horizontal="right" vertical="center"/>
    </xf>
    <xf borderId="7" fillId="0" fontId="6" numFmtId="0" xfId="0" applyAlignment="1" applyBorder="1" applyFont="1">
      <alignment horizontal="left" vertical="center"/>
    </xf>
    <xf borderId="2" fillId="3" fontId="6" numFmtId="164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2" fillId="6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2" fillId="3" fontId="6" numFmtId="15" xfId="0" applyAlignment="1" applyBorder="1" applyFont="1" applyNumberFormat="1">
      <alignment horizontal="left" vertical="center"/>
    </xf>
    <xf borderId="0" fillId="0" fontId="6" numFmtId="3" xfId="0" applyAlignment="1" applyFont="1" applyNumberFormat="1">
      <alignment horizontal="right" vertical="center"/>
    </xf>
    <xf borderId="3" fillId="2" fontId="9" numFmtId="0" xfId="0" applyAlignment="1" applyBorder="1" applyFont="1">
      <alignment horizontal="center"/>
    </xf>
    <xf borderId="2" fillId="2" fontId="9" numFmtId="166" xfId="0" applyBorder="1" applyFont="1" applyNumberFormat="1"/>
    <xf borderId="2" fillId="2" fontId="9" numFmtId="0" xfId="0" applyBorder="1" applyFont="1"/>
    <xf borderId="0" fillId="0" fontId="6" numFmtId="0" xfId="0" applyAlignment="1" applyFont="1">
      <alignment horizontal="left"/>
    </xf>
    <xf borderId="0" fillId="0" fontId="10" numFmtId="0" xfId="0" applyFont="1"/>
    <xf borderId="0" fillId="0" fontId="4" numFmtId="0" xfId="0" applyAlignment="1" applyFont="1">
      <alignment horizontal="center"/>
    </xf>
    <xf borderId="8" fillId="2" fontId="5" numFmtId="3" xfId="0" applyAlignment="1" applyBorder="1" applyFont="1" applyNumberForma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0" fillId="0" fontId="7" numFmtId="3" xfId="0" applyAlignment="1" applyFont="1" applyNumberFormat="1">
      <alignment shrinkToFit="0" wrapText="1"/>
    </xf>
    <xf borderId="0" fillId="0" fontId="7" numFmtId="167" xfId="0" applyAlignment="1" applyFont="1" applyNumberFormat="1">
      <alignment shrinkToFit="0" wrapText="1"/>
    </xf>
    <xf borderId="9" fillId="0" fontId="8" numFmtId="0" xfId="0" applyBorder="1" applyFont="1"/>
    <xf borderId="1" fillId="7" fontId="11" numFmtId="3" xfId="0" applyAlignment="1" applyBorder="1" applyFill="1" applyFont="1" applyNumberFormat="1">
      <alignment horizontal="center" shrinkToFit="0" vertical="center" wrapText="1"/>
    </xf>
    <xf borderId="2" fillId="0" fontId="7" numFmtId="3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7" numFmtId="165" xfId="0" applyAlignment="1" applyBorder="1" applyFont="1" applyNumberFormat="1">
      <alignment horizontal="right" vertical="center"/>
    </xf>
    <xf borderId="2" fillId="0" fontId="7" numFmtId="165" xfId="0" applyAlignment="1" applyBorder="1" applyFont="1" applyNumberFormat="1">
      <alignment horizontal="right" shrinkToFit="0" vertical="center" wrapText="1"/>
    </xf>
    <xf borderId="2" fillId="4" fontId="7" numFmtId="165" xfId="0" applyAlignment="1" applyBorder="1" applyFont="1" applyNumberFormat="1">
      <alignment horizontal="right" shrinkToFit="0" vertical="center" wrapText="1"/>
    </xf>
    <xf borderId="2" fillId="8" fontId="7" numFmtId="3" xfId="0" applyAlignment="1" applyBorder="1" applyFill="1" applyFont="1" applyNumberFormat="1">
      <alignment horizontal="right" readingOrder="0" shrinkToFit="0" vertical="center" wrapText="1"/>
    </xf>
    <xf borderId="2" fillId="0" fontId="7" numFmtId="3" xfId="0" applyAlignment="1" applyBorder="1" applyFont="1" applyNumberFormat="1">
      <alignment horizontal="right" shrinkToFit="0" vertical="center" wrapText="1"/>
    </xf>
    <xf borderId="2" fillId="0" fontId="7" numFmtId="3" xfId="0" applyAlignment="1" applyBorder="1" applyFont="1" applyNumberForma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165" xfId="0" applyAlignment="1" applyBorder="1" applyFont="1" applyNumberFormat="1">
      <alignment horizontal="right" readingOrder="0" vertical="center"/>
    </xf>
    <xf borderId="2" fillId="0" fontId="7" numFmtId="165" xfId="0" applyAlignment="1" applyBorder="1" applyFont="1" applyNumberFormat="1">
      <alignment horizontal="right" readingOrder="0" shrinkToFit="0" vertical="center" wrapText="1"/>
    </xf>
    <xf borderId="2" fillId="8" fontId="7" numFmtId="3" xfId="0" applyAlignment="1" applyBorder="1" applyFont="1" applyNumberFormat="1">
      <alignment horizontal="right" shrinkToFit="0" vertical="center" wrapText="1"/>
    </xf>
    <xf borderId="0" fillId="0" fontId="7" numFmtId="0" xfId="0" applyFont="1"/>
    <xf borderId="0" fillId="0" fontId="7" numFmtId="167" xfId="0" applyFont="1" applyNumberFormat="1"/>
    <xf borderId="0" fillId="0" fontId="7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2.71"/>
    <col customWidth="1" min="3" max="3" width="25.43"/>
    <col customWidth="1" min="4" max="4" width="12.71"/>
    <col customWidth="1" min="5" max="6" width="14.57"/>
    <col customWidth="1" min="7" max="7" width="23.57"/>
    <col customWidth="1" min="8" max="8" width="18.14"/>
    <col customWidth="1" min="9" max="9" width="23.57"/>
    <col customWidth="1" min="10" max="10" width="27.29"/>
    <col customWidth="1" min="11" max="26" width="27.57"/>
  </cols>
  <sheetData>
    <row r="1" ht="14.25" customHeight="1"/>
    <row r="2" ht="30.0" customHeight="1">
      <c r="A2" s="1" t="s">
        <v>0</v>
      </c>
    </row>
    <row r="3" ht="14.25" customHeight="1"/>
    <row r="4" ht="14.25" customHeight="1">
      <c r="A4" s="2" t="s">
        <v>1</v>
      </c>
    </row>
    <row r="5" ht="14.25" customHeight="1">
      <c r="A5" s="3" t="s">
        <v>2</v>
      </c>
    </row>
    <row r="6" ht="14.25" customHeight="1">
      <c r="A6" s="4"/>
      <c r="B6" s="4"/>
    </row>
    <row r="7" ht="14.25" customHeight="1">
      <c r="A7" s="4" t="s">
        <v>3</v>
      </c>
    </row>
    <row r="8" ht="14.25" customHeight="1">
      <c r="A8" s="4" t="s">
        <v>4</v>
      </c>
    </row>
    <row r="9" ht="14.25" customHeight="1">
      <c r="A9" s="4" t="s">
        <v>5</v>
      </c>
    </row>
    <row r="10" ht="14.25" customHeight="1">
      <c r="A10" s="4"/>
      <c r="B10" s="4"/>
    </row>
    <row r="11" ht="14.25" customHeight="1">
      <c r="A11" s="4" t="s">
        <v>6</v>
      </c>
    </row>
    <row r="12" ht="14.25" customHeight="1">
      <c r="A12" s="4" t="s">
        <v>7</v>
      </c>
    </row>
    <row r="13" ht="14.25" customHeight="1">
      <c r="A13" s="4" t="s">
        <v>8</v>
      </c>
    </row>
    <row r="14" ht="14.25" customHeight="1"/>
    <row r="15" ht="34.5" customHeight="1">
      <c r="A15" s="5" t="s">
        <v>9</v>
      </c>
      <c r="B15" s="5" t="s">
        <v>10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15</v>
      </c>
      <c r="H15" s="5" t="s">
        <v>16</v>
      </c>
      <c r="I15" s="5" t="s">
        <v>17</v>
      </c>
      <c r="J15" s="5" t="s">
        <v>18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75" customHeight="1">
      <c r="A16" s="7">
        <v>46148.0</v>
      </c>
      <c r="B16" s="8"/>
      <c r="C16" s="9" t="s">
        <v>19</v>
      </c>
      <c r="D16" s="10" t="s">
        <v>20</v>
      </c>
      <c r="E16" s="11">
        <v>98.6</v>
      </c>
      <c r="F16" s="12">
        <v>42900.0</v>
      </c>
      <c r="G16" s="13">
        <f t="shared" ref="G16:G17" si="1">F16*E16</f>
        <v>4229940</v>
      </c>
      <c r="H16" s="13">
        <f t="shared" ref="H16:H17" si="2">G16*0.08</f>
        <v>338395.2</v>
      </c>
      <c r="I16" s="13">
        <f t="shared" ref="I16:I17" si="3">SUM(G16:H16)</f>
        <v>4568335.2</v>
      </c>
      <c r="J16" s="9" t="s">
        <v>21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75" customHeight="1">
      <c r="A17" s="14">
        <v>46158.0</v>
      </c>
      <c r="B17" s="15"/>
      <c r="C17" s="16" t="s">
        <v>19</v>
      </c>
      <c r="D17" s="17" t="s">
        <v>20</v>
      </c>
      <c r="E17" s="18">
        <v>116.6</v>
      </c>
      <c r="F17" s="12">
        <v>42900.0</v>
      </c>
      <c r="G17" s="19">
        <f t="shared" si="1"/>
        <v>5002140</v>
      </c>
      <c r="H17" s="19">
        <f t="shared" si="2"/>
        <v>400171.2</v>
      </c>
      <c r="I17" s="19">
        <f t="shared" si="3"/>
        <v>5402311.2</v>
      </c>
      <c r="J17" s="16" t="s">
        <v>21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75" customHeight="1">
      <c r="A18" s="20" t="s">
        <v>22</v>
      </c>
      <c r="B18" s="21"/>
      <c r="C18" s="21"/>
      <c r="D18" s="22"/>
      <c r="E18" s="23">
        <f>SUBTOTAL(9,E16:E17)</f>
        <v>215.2</v>
      </c>
      <c r="F18" s="24"/>
      <c r="G18" s="24">
        <f t="shared" ref="G18:I18" si="4">SUBTOTAL(9,G16:G17)</f>
        <v>9232080</v>
      </c>
      <c r="H18" s="24">
        <f t="shared" si="4"/>
        <v>738566.4</v>
      </c>
      <c r="I18" s="24">
        <f t="shared" si="4"/>
        <v>9970646.4</v>
      </c>
      <c r="J18" s="25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1.75" customHeight="1">
      <c r="A19" s="27"/>
      <c r="B19" s="28"/>
      <c r="C19" s="28"/>
      <c r="D19" s="29"/>
      <c r="E19" s="30"/>
      <c r="F19" s="31"/>
      <c r="G19" s="31"/>
      <c r="H19" s="31"/>
      <c r="I19" s="31"/>
      <c r="J19" s="32"/>
    </row>
    <row r="20" ht="21.75" customHeight="1">
      <c r="A20" s="33"/>
      <c r="B20" s="34"/>
      <c r="C20" s="9" t="s">
        <v>19</v>
      </c>
      <c r="D20" s="10" t="s">
        <v>20</v>
      </c>
      <c r="E20" s="11">
        <v>0.0</v>
      </c>
      <c r="F20" s="13"/>
      <c r="G20" s="13">
        <f t="shared" ref="G20:G21" si="5">F20*E20</f>
        <v>0</v>
      </c>
      <c r="H20" s="13">
        <f t="shared" ref="H20:H21" si="6">G20*0.08</f>
        <v>0</v>
      </c>
      <c r="I20" s="13">
        <f t="shared" ref="I20:I21" si="7">SUM(G20:H20)</f>
        <v>0</v>
      </c>
      <c r="J20" s="9" t="s">
        <v>23</v>
      </c>
    </row>
    <row r="21" ht="21.75" customHeight="1">
      <c r="A21" s="17"/>
      <c r="B21" s="35"/>
      <c r="C21" s="16" t="s">
        <v>19</v>
      </c>
      <c r="D21" s="17" t="s">
        <v>20</v>
      </c>
      <c r="E21" s="18">
        <v>0.0</v>
      </c>
      <c r="F21" s="19"/>
      <c r="G21" s="19">
        <f t="shared" si="5"/>
        <v>0</v>
      </c>
      <c r="H21" s="19">
        <f t="shared" si="6"/>
        <v>0</v>
      </c>
      <c r="I21" s="19">
        <f t="shared" si="7"/>
        <v>0</v>
      </c>
      <c r="J21" s="16" t="s">
        <v>23</v>
      </c>
    </row>
    <row r="22" ht="21.75" customHeight="1">
      <c r="A22" s="20" t="s">
        <v>24</v>
      </c>
      <c r="B22" s="21"/>
      <c r="C22" s="21"/>
      <c r="D22" s="22"/>
      <c r="E22" s="23">
        <f>SUBTOTAL(9,E20:E21)</f>
        <v>0</v>
      </c>
      <c r="F22" s="24"/>
      <c r="G22" s="24">
        <f t="shared" ref="G22:I22" si="8">SUBTOTAL(9,G20:G21)</f>
        <v>0</v>
      </c>
      <c r="H22" s="24">
        <f t="shared" si="8"/>
        <v>0</v>
      </c>
      <c r="I22" s="24">
        <f t="shared" si="8"/>
        <v>0</v>
      </c>
      <c r="J22" s="36"/>
    </row>
    <row r="23" ht="21.75" customHeight="1">
      <c r="A23" s="37"/>
      <c r="B23" s="28"/>
      <c r="C23" s="28"/>
      <c r="D23" s="29"/>
      <c r="E23" s="30"/>
      <c r="F23" s="31"/>
      <c r="G23" s="31"/>
      <c r="H23" s="31"/>
      <c r="I23" s="31"/>
      <c r="J23" s="32"/>
    </row>
    <row r="24" ht="21.75" customHeight="1">
      <c r="A24" s="38"/>
      <c r="B24" s="9"/>
      <c r="C24" s="9" t="s">
        <v>19</v>
      </c>
      <c r="D24" s="10" t="s">
        <v>20</v>
      </c>
      <c r="E24" s="11">
        <f>'Chi tiết'!J5</f>
        <v>305.5</v>
      </c>
      <c r="F24" s="13">
        <f>'Chi tiết'!K5</f>
        <v>43964</v>
      </c>
      <c r="G24" s="13">
        <f>F24*E24</f>
        <v>13431002</v>
      </c>
      <c r="H24" s="13">
        <f>G24*0.08</f>
        <v>1074480.16</v>
      </c>
      <c r="I24" s="13">
        <f>SUM(G24:H24)</f>
        <v>14505482.16</v>
      </c>
      <c r="J24" s="9" t="s">
        <v>25</v>
      </c>
    </row>
    <row r="25" ht="21.75" customHeight="1">
      <c r="A25" s="20" t="s">
        <v>26</v>
      </c>
      <c r="B25" s="21"/>
      <c r="C25" s="21"/>
      <c r="D25" s="22"/>
      <c r="E25" s="23"/>
      <c r="F25" s="24"/>
      <c r="G25" s="24">
        <f t="shared" ref="G25:I25" si="9">subtotal(9,G24)</f>
        <v>13431002</v>
      </c>
      <c r="H25" s="24">
        <f t="shared" si="9"/>
        <v>1074480.16</v>
      </c>
      <c r="I25" s="24">
        <f t="shared" si="9"/>
        <v>14505482.16</v>
      </c>
      <c r="J25" s="36"/>
    </row>
    <row r="26" ht="21.75" customHeight="1">
      <c r="A26" s="37"/>
      <c r="B26" s="28"/>
      <c r="C26" s="28"/>
      <c r="D26" s="29"/>
      <c r="E26" s="30"/>
      <c r="F26" s="39"/>
      <c r="G26" s="31"/>
      <c r="H26" s="31"/>
      <c r="I26" s="31"/>
      <c r="J26" s="32"/>
    </row>
    <row r="27" ht="14.25" customHeight="1">
      <c r="A27" s="40" t="s">
        <v>27</v>
      </c>
      <c r="B27" s="21"/>
      <c r="C27" s="21"/>
      <c r="D27" s="21"/>
      <c r="E27" s="21"/>
      <c r="F27" s="22"/>
      <c r="G27" s="41">
        <f t="shared" ref="G27:I27" si="10">SUBTOTAL(9,G16:G25)</f>
        <v>22663082</v>
      </c>
      <c r="H27" s="41">
        <f t="shared" si="10"/>
        <v>1813046.56</v>
      </c>
      <c r="I27" s="41">
        <f t="shared" si="10"/>
        <v>24476128.56</v>
      </c>
      <c r="J27" s="42"/>
    </row>
    <row r="28" ht="14.25" customHeight="1">
      <c r="C28" s="43"/>
    </row>
    <row r="29" ht="14.25" customHeight="1">
      <c r="G29" s="44" t="b">
        <f>G27=sum('Chi tiết'!L3:L5)</f>
        <v>1</v>
      </c>
    </row>
    <row r="30" ht="49.5" customHeight="1">
      <c r="A30" s="45"/>
      <c r="B30" s="45" t="s">
        <v>28</v>
      </c>
      <c r="C30" s="45"/>
      <c r="D30" s="45"/>
      <c r="E30" s="45"/>
      <c r="F30" s="45" t="s">
        <v>29</v>
      </c>
      <c r="G30" s="45"/>
      <c r="H30" s="45"/>
      <c r="I30" s="45" t="s">
        <v>28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12:J12"/>
    <mergeCell ref="A13:J13"/>
    <mergeCell ref="A18:D18"/>
    <mergeCell ref="A22:D22"/>
    <mergeCell ref="A25:D25"/>
    <mergeCell ref="A27:F27"/>
    <mergeCell ref="C28:J28"/>
    <mergeCell ref="I30:J30"/>
    <mergeCell ref="A2:J2"/>
    <mergeCell ref="A4:J4"/>
    <mergeCell ref="A5:J5"/>
    <mergeCell ref="A7:J7"/>
    <mergeCell ref="A8:J8"/>
    <mergeCell ref="A9:J9"/>
    <mergeCell ref="A11:J1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6.43"/>
    <col customWidth="1" min="3" max="3" width="21.86"/>
    <col customWidth="1" min="4" max="9" width="12.71"/>
    <col customWidth="1" min="10" max="10" width="16.43"/>
    <col customWidth="1" min="11" max="11" width="21.86"/>
    <col customWidth="1" min="12" max="13" width="18.14"/>
    <col customWidth="1" min="14" max="15" width="8.86"/>
    <col customWidth="1" min="16" max="16" width="11.86"/>
    <col customWidth="1" min="17" max="26" width="8.86"/>
  </cols>
  <sheetData>
    <row r="1" ht="30.0" customHeight="1">
      <c r="A1" s="46" t="s">
        <v>30</v>
      </c>
      <c r="B1" s="46" t="s">
        <v>31</v>
      </c>
      <c r="C1" s="46" t="s">
        <v>32</v>
      </c>
      <c r="D1" s="47" t="s">
        <v>33</v>
      </c>
      <c r="E1" s="47" t="s">
        <v>34</v>
      </c>
      <c r="F1" s="47" t="s">
        <v>33</v>
      </c>
      <c r="G1" s="47" t="s">
        <v>34</v>
      </c>
      <c r="H1" s="47" t="s">
        <v>35</v>
      </c>
      <c r="I1" s="47" t="s">
        <v>36</v>
      </c>
      <c r="J1" s="47" t="s">
        <v>37</v>
      </c>
      <c r="K1" s="46" t="s">
        <v>38</v>
      </c>
      <c r="L1" s="46" t="s">
        <v>39</v>
      </c>
      <c r="M1" s="46" t="s">
        <v>40</v>
      </c>
      <c r="N1" s="48"/>
      <c r="O1" s="48"/>
      <c r="P1" s="49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24.75" customHeight="1">
      <c r="A2" s="50"/>
      <c r="B2" s="50"/>
      <c r="C2" s="50"/>
      <c r="D2" s="51" t="s">
        <v>41</v>
      </c>
      <c r="E2" s="51" t="s">
        <v>41</v>
      </c>
      <c r="F2" s="51" t="s">
        <v>42</v>
      </c>
      <c r="G2" s="51" t="s">
        <v>42</v>
      </c>
      <c r="H2" s="51" t="s">
        <v>20</v>
      </c>
      <c r="I2" s="51" t="s">
        <v>20</v>
      </c>
      <c r="J2" s="51" t="s">
        <v>20</v>
      </c>
      <c r="K2" s="50"/>
      <c r="L2" s="50"/>
      <c r="M2" s="50"/>
      <c r="N2" s="48"/>
      <c r="O2" s="48"/>
      <c r="P2" s="49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1.75" customHeight="1">
      <c r="A3" s="52">
        <v>1.0</v>
      </c>
      <c r="B3" s="53">
        <v>46148.0</v>
      </c>
      <c r="C3" s="54" t="s">
        <v>43</v>
      </c>
      <c r="D3" s="55">
        <v>4.0</v>
      </c>
      <c r="E3" s="56">
        <v>4.0</v>
      </c>
      <c r="F3" s="56"/>
      <c r="G3" s="56"/>
      <c r="H3" s="56">
        <f t="shared" ref="H3:H5" si="1">D3*45+F3*12</f>
        <v>180</v>
      </c>
      <c r="I3" s="57">
        <v>81.4</v>
      </c>
      <c r="J3" s="56">
        <f t="shared" ref="J3:J5" si="2">H3-I3</f>
        <v>98.6</v>
      </c>
      <c r="K3" s="58">
        <v>42900.0</v>
      </c>
      <c r="L3" s="59">
        <f t="shared" ref="L3:L5" si="3">K3*J3</f>
        <v>4229940</v>
      </c>
      <c r="M3" s="52"/>
      <c r="N3" s="48"/>
      <c r="O3" s="48"/>
      <c r="P3" s="49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21.75" customHeight="1">
      <c r="A4" s="52">
        <v>2.0</v>
      </c>
      <c r="B4" s="53">
        <v>46158.0</v>
      </c>
      <c r="C4" s="54" t="s">
        <v>43</v>
      </c>
      <c r="D4" s="55">
        <v>4.0</v>
      </c>
      <c r="E4" s="56">
        <v>4.0</v>
      </c>
      <c r="F4" s="56"/>
      <c r="G4" s="56"/>
      <c r="H4" s="56">
        <f t="shared" si="1"/>
        <v>180</v>
      </c>
      <c r="I4" s="57">
        <v>63.4</v>
      </c>
      <c r="J4" s="56">
        <f t="shared" si="2"/>
        <v>116.6</v>
      </c>
      <c r="K4" s="58">
        <v>42900.0</v>
      </c>
      <c r="L4" s="59">
        <f t="shared" si="3"/>
        <v>5002140</v>
      </c>
      <c r="M4" s="52"/>
      <c r="N4" s="48"/>
      <c r="O4" s="48"/>
      <c r="P4" s="49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21.75" customHeight="1">
      <c r="A5" s="60">
        <v>3.0</v>
      </c>
      <c r="B5" s="61">
        <v>46157.0</v>
      </c>
      <c r="C5" s="62" t="s">
        <v>44</v>
      </c>
      <c r="D5" s="63">
        <v>6.0</v>
      </c>
      <c r="E5" s="64">
        <v>6.0</v>
      </c>
      <c r="F5" s="64">
        <v>4.0</v>
      </c>
      <c r="G5" s="64">
        <v>4.0</v>
      </c>
      <c r="H5" s="56">
        <f t="shared" si="1"/>
        <v>318</v>
      </c>
      <c r="I5" s="57">
        <f>3.7+3.7+5.1</f>
        <v>12.5</v>
      </c>
      <c r="J5" s="56">
        <f t="shared" si="2"/>
        <v>305.5</v>
      </c>
      <c r="K5" s="65">
        <f>44664-700</f>
        <v>43964</v>
      </c>
      <c r="L5" s="59">
        <f t="shared" si="3"/>
        <v>13431002</v>
      </c>
      <c r="M5" s="52"/>
      <c r="N5" s="48"/>
      <c r="O5" s="48"/>
      <c r="P5" s="49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2.75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7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7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2.75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7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2.75" customHeight="1">
      <c r="A9" s="66"/>
      <c r="B9" s="66"/>
      <c r="C9" s="66"/>
      <c r="D9" s="66"/>
      <c r="E9" s="66"/>
      <c r="F9" s="66"/>
      <c r="G9" s="66"/>
      <c r="H9" s="66"/>
      <c r="I9" s="68"/>
      <c r="J9" s="66"/>
      <c r="K9" s="66"/>
      <c r="L9" s="66"/>
      <c r="M9" s="66"/>
      <c r="N9" s="66"/>
      <c r="O9" s="66"/>
      <c r="P9" s="67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7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2.75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2.75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7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2.75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7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7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7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7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7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7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7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7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7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7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7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7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7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7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7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7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7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7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7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7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7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7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7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7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7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7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2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7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2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7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2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7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2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7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2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7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2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7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2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7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2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7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2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7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2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7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2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7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2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7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2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7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2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7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2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7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2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7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2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7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2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7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2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7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2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7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2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7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2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7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2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7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2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7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2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7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2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7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2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7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2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7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2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7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2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7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2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7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2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7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2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7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2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7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2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7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2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7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2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7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2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7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2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7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2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7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2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7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2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7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2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7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2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7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2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7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2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7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2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7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2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7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2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7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2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7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2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7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2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7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2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7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2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7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2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7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2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7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2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7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2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7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2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7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2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7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2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7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2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7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2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7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2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7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2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7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2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7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2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7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2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7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2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7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2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7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2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7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2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7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2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7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2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7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2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7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2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7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2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7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2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7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2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7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2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7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2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7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2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7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2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7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2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7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2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7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2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7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2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7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2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7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2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7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2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7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2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7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2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7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2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7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2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7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2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7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2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7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2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7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2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7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2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7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2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7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2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7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2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7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2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7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2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7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2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7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2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7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2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7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2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7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2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7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2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7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2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7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2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7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2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7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2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7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2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7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2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7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2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7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2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7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2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7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2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7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2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7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2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7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2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7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2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7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2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7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2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7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2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7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2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7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2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7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2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7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2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7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2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7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2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7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2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7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2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7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2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7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2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7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2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7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2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7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2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7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2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7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2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7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2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7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2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7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2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7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2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7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2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7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2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7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2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7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2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7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2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7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2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7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2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7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2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7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2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7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2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7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2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7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2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7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2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7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2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7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2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7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2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7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2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7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2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7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2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7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2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7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2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7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2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7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2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7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2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7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2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7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2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7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2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7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2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7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2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7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2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7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2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7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2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7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2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7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2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7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2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7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2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7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2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7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2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7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2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7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2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7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2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7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2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7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2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7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2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7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2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7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2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7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2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7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2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7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2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7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2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7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2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7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2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7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2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7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2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7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2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7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2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7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2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7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2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7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2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7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2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7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2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7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2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7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2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7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2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7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2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7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2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7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2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7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2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7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2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7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2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7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2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7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2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7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2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7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2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7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2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7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2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7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2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7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2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7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2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7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2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7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2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7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2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7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2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7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2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7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2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7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2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7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2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7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2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7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2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7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2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7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2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7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2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7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2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7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2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7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2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7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2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7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2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7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2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7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2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7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2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7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2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7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2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7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2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7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2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7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2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7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2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7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2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7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2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7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2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7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2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7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2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7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2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7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2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7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2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7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2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7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2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7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2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7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2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7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2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7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2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7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2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7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2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7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2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7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2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7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2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7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2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7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2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7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2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7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2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7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2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7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2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7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2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7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2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7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2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7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2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7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2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7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2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7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2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7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2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7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2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7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2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7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2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7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2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7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2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7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2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7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2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7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2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7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2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7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2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7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2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7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2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7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2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7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2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7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2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7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2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7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2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7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2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7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2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7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2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7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2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7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2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7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2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7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2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7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2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7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2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7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2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7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2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7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2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7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2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7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2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7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2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7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2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7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2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7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2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7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2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7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2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7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2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7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2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7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2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7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2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7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2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7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2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7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2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7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2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7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2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7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2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7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2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7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2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7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2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7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2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7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2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7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2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7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2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7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2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7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2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7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2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7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2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7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2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7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2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7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2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7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2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7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2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7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2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7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2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7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2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7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2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7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2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7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2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7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2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7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2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7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2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7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2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7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2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7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2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7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2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7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2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7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2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7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2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7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2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7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2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7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2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7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2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7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2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7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2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7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2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7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2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7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2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7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2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7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2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7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2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7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2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7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2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7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2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7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2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7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2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7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2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7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2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7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2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7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2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7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2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7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2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7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2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7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2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7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2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7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2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7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2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7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2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7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2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7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2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7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2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7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2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7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2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7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2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7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2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7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2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7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2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7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2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7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2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7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2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7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2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7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2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7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2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7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2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7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2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7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2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7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2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7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2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7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2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7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2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7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2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7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2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7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2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7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2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7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2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7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2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7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2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7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2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7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2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7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2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7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2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7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2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7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2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7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2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7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2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7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2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7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2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7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2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7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2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7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2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7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2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7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2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7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2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7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2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7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2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7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2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7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2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7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2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7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2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7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2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7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2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7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2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7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2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7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2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7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2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7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2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7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2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7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2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7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2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7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2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7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2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7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2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7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2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7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2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7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2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7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2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7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2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7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2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7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2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7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2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7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2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7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2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7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2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7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2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7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2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7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2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7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2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7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2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7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2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7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2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7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2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7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2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7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2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7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2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7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2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7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2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7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2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7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2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7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2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7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2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7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2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7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2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7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2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7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2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7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2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7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2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7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2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7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2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7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2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7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2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7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2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7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2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7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2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7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2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7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2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7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2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7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2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7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2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7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2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7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2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7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2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7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2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7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2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7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2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7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2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7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2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7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2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7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2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7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2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7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2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7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2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7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2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7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2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7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2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7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2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7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2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7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2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7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2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7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2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7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2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7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2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7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2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7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2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7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2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7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2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7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2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7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2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7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2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7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2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7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2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7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2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7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2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7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2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7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2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7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2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7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2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7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2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7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2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7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2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7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2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7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2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7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2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7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2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7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2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7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2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7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2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7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2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7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2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7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2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7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2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7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2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7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2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7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2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7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2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7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2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7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2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7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2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7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2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7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2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7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2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7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2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7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2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7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2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7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2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7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2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7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2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7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2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7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2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7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2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7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2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7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2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7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2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7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2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7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2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7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2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7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2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7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2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7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2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7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2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7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2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7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2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7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2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7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2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7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2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7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2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7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2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7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2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7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2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7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2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7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2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7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2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7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2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7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2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7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2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7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2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7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2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7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2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7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2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7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2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7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2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7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2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7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2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7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2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7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2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7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2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7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2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7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2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7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2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7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2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7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2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7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2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7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2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7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2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7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2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7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2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7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2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7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2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7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2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7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2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7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2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7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2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7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2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7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2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7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2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7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2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7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2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7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2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7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2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7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2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7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2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7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2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7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2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7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2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7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2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7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2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7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2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7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2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7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2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7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2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7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2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7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2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7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2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7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2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7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2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7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2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7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2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7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2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7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2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7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2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7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2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7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2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7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2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7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2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7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2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7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2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7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2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7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2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7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2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7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2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7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2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7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2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7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2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7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2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7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2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7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2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7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2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7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2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7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2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7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2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7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2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7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2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7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2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7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2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7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2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7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2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7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2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7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2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7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2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7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2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7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2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7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2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7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2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7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2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7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2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7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2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7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2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7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2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7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2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7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2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7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2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7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2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7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2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7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2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7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2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7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2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7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2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7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2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7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2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7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2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7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2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7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2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7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2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7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2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7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2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7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2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7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2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7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2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7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2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7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2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7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2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7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2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7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2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7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2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7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2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7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2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7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2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7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2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7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2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7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2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7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2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7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2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7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2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7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2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7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2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7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2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7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2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7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2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7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2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7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2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7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2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7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2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7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2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7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2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7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2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7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2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7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2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7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2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7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2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7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2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7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2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7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2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7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2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7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2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7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2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7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2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7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2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7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2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7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2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7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2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7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2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7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2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7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2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7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2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7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2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7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2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7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2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7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2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7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2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7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2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7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2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7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2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7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2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7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2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7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2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7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2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7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2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7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2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7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2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7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2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7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2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7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2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7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2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7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2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7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2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7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2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7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2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7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2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7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2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7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2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7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2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7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2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7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2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7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2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7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2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7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2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7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2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7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2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7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2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7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2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7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2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7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2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7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2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7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2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7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2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7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2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7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2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7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2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7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2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7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2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7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2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7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2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7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2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7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2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7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2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7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2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7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2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7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2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7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2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7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2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7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2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7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2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7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2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7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2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7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2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7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2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7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2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7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2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7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2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7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2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7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2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7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2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7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2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7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2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7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2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7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2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7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2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7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2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7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2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7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2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7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2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7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2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7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2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7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2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7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2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7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2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7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2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7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2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7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2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7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2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7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2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7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2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7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2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7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2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7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2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7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2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7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2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7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2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7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2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7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2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7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2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7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2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7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2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7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2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7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2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7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2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7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2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7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2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7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2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7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2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7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2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7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2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7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2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7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2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7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2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7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2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7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2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7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2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7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2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7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2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7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2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7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2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7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2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7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2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7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2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7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2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7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2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7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2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7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2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7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2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7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2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7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2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7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2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7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2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7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2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7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2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7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2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7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2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7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2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7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2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7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2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7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2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7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2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7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2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7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2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7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2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7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2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7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2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7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2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7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2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7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2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7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2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7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2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7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2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7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2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7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2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7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2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7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2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7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2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7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2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7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2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7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2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7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2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7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2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7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2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7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2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7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2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7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2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7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2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7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2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7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2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7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2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7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2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7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2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7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2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7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2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7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2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7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2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7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2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7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2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7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2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7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2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7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2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7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2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7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2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7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2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7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2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7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2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7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2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7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2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7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2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7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2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7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2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7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2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7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2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7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2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7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2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7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2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7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2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7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2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7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2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7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2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7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2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7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2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7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2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7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2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7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2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7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2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7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autoFilter ref="$A$1:$M$5">
    <sortState ref="A1:M5">
      <sortCondition ref="A1:A5"/>
    </sortState>
  </autoFilter>
  <mergeCells count="6">
    <mergeCell ref="A1:A2"/>
    <mergeCell ref="B1:B2"/>
    <mergeCell ref="C1:C2"/>
    <mergeCell ref="K1:K2"/>
    <mergeCell ref="L1:L2"/>
    <mergeCell ref="M1:M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2019-12-17T09:00:52Z</dcterms:created>
  <dc:creator>HIEN01</dc:creator>
</cp:coreProperties>
</file>