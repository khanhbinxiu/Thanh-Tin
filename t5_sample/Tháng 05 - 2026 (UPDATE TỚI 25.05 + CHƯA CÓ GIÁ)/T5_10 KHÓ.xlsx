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ông nợ" sheetId="1" r:id="rId4"/>
  </sheets>
  <definedNames/>
  <calcPr/>
  <extLst>
    <ext uri="GoogleSheetsCustomDataVersion2">
      <go:sheetsCustomData xmlns:go="http://customooxmlschemas.google.com/" r:id="rId5" roundtripDataChecksum="pC2cHT6HggOMps/m20tIY8N0S4LbtUSJsbfZRoTawj4="/>
    </ext>
  </extLst>
</workbook>
</file>

<file path=xl/sharedStrings.xml><?xml version="1.0" encoding="utf-8"?>
<sst xmlns="http://schemas.openxmlformats.org/spreadsheetml/2006/main" count="43" uniqueCount="30">
  <si>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</si>
  <si>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</si>
  <si>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</si>
  <si>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</si>
  <si>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</si>
  <si>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 xml:space="preserve">KHÁCH HÀNG: CƠM QUÊ MƯỜI KHÓ 3
ĐỊA CHỈ: 20 Song Hành, Phường An Phú, Tp Thủ Đức, TPHCM
MST: 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</si>
  <si>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</si>
  <si>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</si>
  <si>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</si>
  <si>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</si>
  <si>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</si>
  <si>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</si>
  <si>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</si>
  <si>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</si>
  <si>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</si>
  <si>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</si>
  <si>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</si>
  <si>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</si>
  <si>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</si>
  <si>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</si>
  <si>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</si>
  <si>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</si>
  <si>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10 khó,trần quốc thảo</t>
  </si>
  <si>
    <t>10 khó,nguyễn văn trỗi</t>
  </si>
  <si>
    <t>10 khó,song hành</t>
  </si>
  <si>
    <t>TỔNG</t>
  </si>
  <si>
    <t>Thuế GTGT (8%)</t>
  </si>
  <si>
    <t>Tổng tiền hàng (bao gồm GTGT 8%) là:</t>
  </si>
  <si>
    <t>Xác nhận của khách hàng</t>
  </si>
  <si>
    <t>Người lập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</si>
</sst>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#,##0.0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Arial"/>
    </font>
    <font>
      <b/>
      <sz val="13.0"/>
      <color theme="1"/>
      <name val="Arial"/>
    </font>
    <font>
      <i/>
      <sz val="8.0"/>
      <color rgb="FF888888"/>
      <name val="Arial"/>
    </font>
    <font>
      <sz val="10.0"/>
      <color theme="1"/>
      <name val="Arial"/>
    </font>
    <font>
      <i/>
      <sz val="9.0"/>
      <color theme="1"/>
      <name val="Arial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E9EDF1"/>
        <bgColor rgb="FFE9ED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left" vertical="center"/>
    </xf>
    <xf borderId="1" fillId="0" fontId="5" numFmtId="164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right" vertical="center"/>
    </xf>
    <xf borderId="1" fillId="0" fontId="5" numFmtId="165" xfId="0" applyAlignment="1" applyBorder="1" applyFont="1" applyNumberFormat="1">
      <alignment horizontal="right" vertical="center"/>
    </xf>
    <xf borderId="1" fillId="5" fontId="5" numFmtId="0" xfId="0" applyAlignment="1" applyBorder="1" applyFill="1" applyFont="1">
      <alignment horizontal="right" vertical="center"/>
    </xf>
    <xf borderId="1" fillId="0" fontId="5" numFmtId="3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5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6" fontId="1" numFmtId="0" xfId="0" applyAlignment="1" applyBorder="1" applyFill="1" applyFont="1">
      <alignment horizontal="left" vertical="center"/>
    </xf>
    <xf borderId="1" fillId="6" fontId="1" numFmtId="0" xfId="0" applyAlignment="1" applyBorder="1" applyFont="1">
      <alignment horizontal="right" vertical="center"/>
    </xf>
    <xf borderId="1" fillId="6" fontId="1" numFmtId="164" xfId="0" applyAlignment="1" applyBorder="1" applyFont="1" applyNumberFormat="1">
      <alignment horizontal="right" vertical="center"/>
    </xf>
    <xf borderId="0" fillId="0" fontId="5" numFmtId="0" xfId="0" applyFont="1"/>
    <xf borderId="0" fillId="0" fontId="1" numFmtId="3" xfId="0" applyAlignment="1" applyFont="1" applyNumberFormat="1">
      <alignment horizontal="right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46144.0</v>
      </c>
      <c r="C10" s="13" t="s">
        <v>22</v>
      </c>
      <c r="D10" s="14">
        <v>2.0</v>
      </c>
      <c r="E10" s="14">
        <v>3.0</v>
      </c>
      <c r="F10" s="14"/>
      <c r="G10" s="14"/>
      <c r="H10" s="15">
        <f t="shared" ref="H10:H19" si="1">D10*45+ F10*12</f>
        <v>90</v>
      </c>
      <c r="I10" s="14">
        <v>7.9</v>
      </c>
      <c r="J10" s="16">
        <f t="shared" ref="J10:J19" si="2">H10-I10</f>
        <v>82.1</v>
      </c>
      <c r="K10" s="17"/>
      <c r="L10" s="18">
        <f t="shared" ref="L10:L19" si="3">J10*K10</f>
        <v>0</v>
      </c>
      <c r="M10" s="15"/>
    </row>
    <row r="11" ht="18.0" customHeight="1">
      <c r="A11" s="11">
        <v>2.0</v>
      </c>
      <c r="B11" s="12">
        <v>46144.0</v>
      </c>
      <c r="C11" s="13" t="s">
        <v>23</v>
      </c>
      <c r="D11" s="14">
        <v>2.0</v>
      </c>
      <c r="E11" s="14">
        <v>3.0</v>
      </c>
      <c r="F11" s="14"/>
      <c r="G11" s="14"/>
      <c r="H11" s="15">
        <f t="shared" si="1"/>
        <v>90</v>
      </c>
      <c r="I11" s="14">
        <v>7.9</v>
      </c>
      <c r="J11" s="16">
        <f t="shared" si="2"/>
        <v>82.1</v>
      </c>
      <c r="K11" s="17"/>
      <c r="L11" s="18">
        <f t="shared" si="3"/>
        <v>0</v>
      </c>
      <c r="M11" s="15"/>
    </row>
    <row r="12" ht="18.0" customHeight="1">
      <c r="A12" s="11">
        <v>3.0</v>
      </c>
      <c r="B12" s="12">
        <v>46144.0</v>
      </c>
      <c r="C12" s="13" t="s">
        <v>24</v>
      </c>
      <c r="D12" s="14">
        <v>2.0</v>
      </c>
      <c r="E12" s="14">
        <v>2.0</v>
      </c>
      <c r="F12" s="14"/>
      <c r="G12" s="14"/>
      <c r="H12" s="15">
        <f t="shared" si="1"/>
        <v>90</v>
      </c>
      <c r="I12" s="14">
        <v>9.8</v>
      </c>
      <c r="J12" s="16">
        <f t="shared" si="2"/>
        <v>80.2</v>
      </c>
      <c r="K12" s="17"/>
      <c r="L12" s="18">
        <f t="shared" si="3"/>
        <v>0</v>
      </c>
      <c r="M12" s="15"/>
    </row>
    <row r="13" ht="18.0" customHeight="1">
      <c r="A13" s="11">
        <v>4.0</v>
      </c>
      <c r="B13" s="12">
        <v>46146.0</v>
      </c>
      <c r="C13" s="13" t="s">
        <v>24</v>
      </c>
      <c r="D13" s="14">
        <v>2.0</v>
      </c>
      <c r="E13" s="14">
        <v>2.0</v>
      </c>
      <c r="F13" s="14"/>
      <c r="G13" s="14"/>
      <c r="H13" s="15">
        <f t="shared" si="1"/>
        <v>90</v>
      </c>
      <c r="I13" s="14">
        <v>19.2</v>
      </c>
      <c r="J13" s="16">
        <f t="shared" si="2"/>
        <v>70.8</v>
      </c>
      <c r="K13" s="17"/>
      <c r="L13" s="18">
        <f t="shared" si="3"/>
        <v>0</v>
      </c>
      <c r="M13" s="15"/>
    </row>
    <row r="14" ht="18.0" customHeight="1">
      <c r="A14" s="11">
        <v>5.0</v>
      </c>
      <c r="B14" s="12">
        <v>46149.0</v>
      </c>
      <c r="C14" s="13" t="s">
        <v>24</v>
      </c>
      <c r="D14" s="14">
        <v>2.0</v>
      </c>
      <c r="E14" s="14">
        <v>2.0</v>
      </c>
      <c r="F14" s="14"/>
      <c r="G14" s="14"/>
      <c r="H14" s="15">
        <f t="shared" si="1"/>
        <v>90</v>
      </c>
      <c r="I14" s="14">
        <v>11.2</v>
      </c>
      <c r="J14" s="16">
        <f t="shared" si="2"/>
        <v>78.8</v>
      </c>
      <c r="K14" s="17"/>
      <c r="L14" s="18">
        <f t="shared" si="3"/>
        <v>0</v>
      </c>
      <c r="M14" s="15"/>
    </row>
    <row r="15" ht="18.0" customHeight="1">
      <c r="A15" s="11">
        <v>6.0</v>
      </c>
      <c r="B15" s="12">
        <v>46152.0</v>
      </c>
      <c r="C15" s="13" t="s">
        <v>24</v>
      </c>
      <c r="D15" s="14">
        <v>2.0</v>
      </c>
      <c r="E15" s="14">
        <v>2.0</v>
      </c>
      <c r="F15" s="14"/>
      <c r="G15" s="14"/>
      <c r="H15" s="15">
        <f t="shared" si="1"/>
        <v>90</v>
      </c>
      <c r="I15" s="14">
        <v>40.7</v>
      </c>
      <c r="J15" s="16">
        <f t="shared" si="2"/>
        <v>49.3</v>
      </c>
      <c r="K15" s="17"/>
      <c r="L15" s="18">
        <f t="shared" si="3"/>
        <v>0</v>
      </c>
      <c r="M15" s="15"/>
    </row>
    <row r="16" ht="18.0" customHeight="1">
      <c r="A16" s="11">
        <v>8.0</v>
      </c>
      <c r="B16" s="12">
        <v>46155.0</v>
      </c>
      <c r="C16" s="13" t="s">
        <v>24</v>
      </c>
      <c r="D16" s="14">
        <v>2.0</v>
      </c>
      <c r="E16" s="14">
        <v>2.0</v>
      </c>
      <c r="F16" s="14"/>
      <c r="G16" s="14"/>
      <c r="H16" s="15">
        <f t="shared" si="1"/>
        <v>90</v>
      </c>
      <c r="I16" s="14">
        <v>12.1</v>
      </c>
      <c r="J16" s="16">
        <f t="shared" si="2"/>
        <v>77.9</v>
      </c>
      <c r="K16" s="17"/>
      <c r="L16" s="18">
        <f t="shared" si="3"/>
        <v>0</v>
      </c>
      <c r="M16" s="15"/>
    </row>
    <row r="17" ht="18.0" customHeight="1">
      <c r="A17" s="11">
        <v>10.0</v>
      </c>
      <c r="B17" s="12">
        <v>46160.0</v>
      </c>
      <c r="C17" s="13" t="s">
        <v>24</v>
      </c>
      <c r="D17" s="14">
        <v>2.0</v>
      </c>
      <c r="E17" s="14">
        <v>2.0</v>
      </c>
      <c r="F17" s="14">
        <v>1.0</v>
      </c>
      <c r="G17" s="14">
        <v>1.0</v>
      </c>
      <c r="H17" s="15">
        <f t="shared" si="1"/>
        <v>102</v>
      </c>
      <c r="I17" s="14">
        <v>8.7</v>
      </c>
      <c r="J17" s="16">
        <f t="shared" si="2"/>
        <v>93.3</v>
      </c>
      <c r="K17" s="17"/>
      <c r="L17" s="18">
        <f t="shared" si="3"/>
        <v>0</v>
      </c>
      <c r="M17" s="15"/>
    </row>
    <row r="18" ht="18.0" customHeight="1">
      <c r="A18" s="11">
        <v>11.0</v>
      </c>
      <c r="B18" s="12">
        <v>46162.0</v>
      </c>
      <c r="C18" s="13" t="s">
        <v>24</v>
      </c>
      <c r="D18" s="14">
        <v>2.0</v>
      </c>
      <c r="E18" s="14">
        <v>2.0</v>
      </c>
      <c r="F18" s="14">
        <v>0.0</v>
      </c>
      <c r="G18" s="14">
        <v>0.0</v>
      </c>
      <c r="H18" s="15">
        <f t="shared" si="1"/>
        <v>90</v>
      </c>
      <c r="I18" s="14">
        <v>16.5</v>
      </c>
      <c r="J18" s="16">
        <f t="shared" si="2"/>
        <v>73.5</v>
      </c>
      <c r="K18" s="17"/>
      <c r="L18" s="18">
        <f t="shared" si="3"/>
        <v>0</v>
      </c>
      <c r="M18" s="15"/>
    </row>
    <row r="19" ht="18.0" customHeight="1">
      <c r="A19" s="19">
        <v>12.0</v>
      </c>
      <c r="B19" s="20">
        <v>46165.0</v>
      </c>
      <c r="C19" s="13" t="s">
        <v>24</v>
      </c>
      <c r="D19" s="14">
        <v>2.0</v>
      </c>
      <c r="E19" s="14">
        <v>2.0</v>
      </c>
      <c r="F19" s="14">
        <v>0.0</v>
      </c>
      <c r="G19" s="14">
        <v>0.0</v>
      </c>
      <c r="H19" s="15">
        <f t="shared" si="1"/>
        <v>90</v>
      </c>
      <c r="I19" s="21">
        <v>0.0</v>
      </c>
      <c r="J19" s="16">
        <f t="shared" si="2"/>
        <v>90</v>
      </c>
      <c r="K19" s="17"/>
      <c r="L19" s="18">
        <f t="shared" si="3"/>
        <v>0</v>
      </c>
      <c r="M19" s="15"/>
    </row>
    <row r="20" ht="18.0" customHeight="1">
      <c r="A20" s="22" t="s">
        <v>25</v>
      </c>
      <c r="B20" s="23"/>
      <c r="C20" s="23"/>
      <c r="D20" s="24">
        <f t="shared" ref="D20:J20" si="4">SUM(D10:D19)</f>
        <v>20</v>
      </c>
      <c r="E20" s="24">
        <f t="shared" si="4"/>
        <v>22</v>
      </c>
      <c r="F20" s="24">
        <f t="shared" si="4"/>
        <v>1</v>
      </c>
      <c r="G20" s="24">
        <f t="shared" si="4"/>
        <v>1</v>
      </c>
      <c r="H20" s="24">
        <f t="shared" si="4"/>
        <v>912</v>
      </c>
      <c r="I20" s="24">
        <f t="shared" si="4"/>
        <v>134</v>
      </c>
      <c r="J20" s="24">
        <f t="shared" si="4"/>
        <v>778</v>
      </c>
      <c r="K20" s="23"/>
      <c r="L20" s="24">
        <f>SUM(L10:L19)</f>
        <v>0</v>
      </c>
      <c r="M20" s="23"/>
    </row>
    <row r="21" ht="18.0" customHeight="1">
      <c r="A21" s="25" t="s">
        <v>26</v>
      </c>
      <c r="L21" s="26">
        <f>L20*0.08</f>
        <v>0</v>
      </c>
    </row>
    <row r="22" ht="18.0" customHeight="1">
      <c r="A22" s="25" t="s">
        <v>27</v>
      </c>
      <c r="L22" s="26">
        <f>L20+L21</f>
        <v>0</v>
      </c>
    </row>
    <row r="23" ht="9.75" customHeight="1">
      <c r="A23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23" s="26">
        <f>L22</f>
        <v>0</v>
      </c>
    </row>
    <row r="24" ht="18.0" customHeight="1"/>
    <row r="25" ht="18.0" customHeight="1">
      <c r="J25" s="27" t="str">
        <f>"TP Hồ Chí Minh, Ngày "&amp;TEXT(DAY(DATE($P$2,$P$1+1,0)),"00")&amp;" tháng "&amp;TEXT($P$1,"00")&amp;" năm "&amp;$P$2</f>
        <v>TP Hồ Chí Minh, Ngày 31 tháng 05 năm 2026</v>
      </c>
    </row>
    <row r="26" ht="14.25" customHeight="1">
      <c r="A26" s="28" t="s">
        <v>28</v>
      </c>
      <c r="J26" s="28" t="s">
        <v>29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:N1"/>
    <mergeCell ref="A2:N2"/>
    <mergeCell ref="A3:N3"/>
    <mergeCell ref="O3:P3"/>
    <mergeCell ref="A4:N4"/>
    <mergeCell ref="A5:N5"/>
    <mergeCell ref="A6:N6"/>
    <mergeCell ref="A7:N7"/>
    <mergeCell ref="A21:K21"/>
    <mergeCell ref="A22:K22"/>
    <mergeCell ref="A23:K23"/>
    <mergeCell ref="J25:M25"/>
    <mergeCell ref="A26:D26"/>
    <mergeCell ref="J26:M2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2026-05-25T04:01:05Z</dcterms:created>
  <dc:creator>openpyxl</dc:creator>
</cp:coreProperties>
</file>