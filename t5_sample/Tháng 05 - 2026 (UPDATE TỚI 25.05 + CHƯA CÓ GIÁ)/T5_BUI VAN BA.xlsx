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8C4A722D-DF77-46BD-A368-E464FA71AE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3" l="1"/>
  <c r="L11" i="3"/>
  <c r="J11" i="3"/>
  <c r="J10" i="3"/>
  <c r="H11" i="3"/>
  <c r="K12" i="3"/>
  <c r="I12" i="3"/>
  <c r="G12" i="3"/>
  <c r="F12" i="3"/>
  <c r="E12" i="3"/>
  <c r="D12" i="3"/>
  <c r="J17" i="3" l="1"/>
  <c r="A15" i="3"/>
  <c r="H10" i="3"/>
  <c r="H12" i="3" s="1"/>
  <c r="A6" i="3"/>
  <c r="A3" i="3"/>
  <c r="J12" i="3" l="1"/>
  <c r="L10" i="3" l="1"/>
  <c r="L13" i="3" l="1"/>
  <c r="L14" i="3" s="1"/>
  <c r="L15" i="3" s="1"/>
</calcChain>
</file>

<file path=xl/sharedStrings.xml><?xml version="1.0" encoding="utf-8"?>
<sst xmlns="http://schemas.openxmlformats.org/spreadsheetml/2006/main" count="35" uniqueCount="28">
  <si>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</si>
  <si>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</si>
  <si>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</si>
  <si>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</si>
  <si>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</si>
  <si>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</si>
  <si>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</si>
  <si>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</si>
  <si>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</si>
  <si>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</si>
  <si>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</si>
  <si>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</si>
  <si>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</si>
  <si>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</si>
  <si>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</si>
  <si>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</si>
  <si>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</si>
  <si>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</si>
  <si>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</si>
  <si>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</si>
  <si>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</si>
  <si>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</si>
  <si>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</si>
  <si>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</si>
  <si>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</si>
  <si>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</si>
  <si>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KHÁCH HÀNG: CÔNG TY TNHH MỘT THÀNH VIÊN DỊCH VỤ SAO KIM
ĐỊA CHỈ: 245 Bùi Văn Ba, Phường Tân Thuận Đông, Quận 7, Tp.HCM
MST: 0312301299</t>
  </si>
  <si>
    <t>BẾP BUIVANBA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</si>
</sst>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5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D397-99CB-44E5-B853-484CAF0E8B9F}">
  <dimension ref="A1:P18"/>
  <sheetViews>
    <sheetView tabSelected="1" workbookViewId="0">
      <selection activeCell="F10" sqref="F10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2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22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3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4" t="s">
        <v>4</v>
      </c>
      <c r="P3" s="17"/>
    </row>
    <row r="4" spans="1:16" ht="42" customHeight="1" x14ac:dyDescent="0.35">
      <c r="A4" s="25" t="s">
        <v>26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18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1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18" t="s">
        <v>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15">
        <v>46151</v>
      </c>
      <c r="C10" s="26" t="s">
        <v>27</v>
      </c>
      <c r="D10" s="11">
        <v>10</v>
      </c>
      <c r="E10" s="11">
        <v>10</v>
      </c>
      <c r="F10" s="11">
        <v>0</v>
      </c>
      <c r="G10" s="11">
        <v>0</v>
      </c>
      <c r="H10" s="6">
        <f>D10*45+ F10*12</f>
        <v>450</v>
      </c>
      <c r="I10" s="11">
        <v>46.3</v>
      </c>
      <c r="J10" s="12">
        <f>H10-I10</f>
        <v>403.7</v>
      </c>
      <c r="K10" s="13"/>
      <c r="L10" s="7">
        <f>J10*K10</f>
        <v>0</v>
      </c>
      <c r="M10" s="6"/>
    </row>
    <row r="11" spans="1:16" ht="18" customHeight="1" x14ac:dyDescent="0.35">
      <c r="A11" s="5">
        <v>2</v>
      </c>
      <c r="B11" s="15">
        <v>46161</v>
      </c>
      <c r="C11" s="26" t="s">
        <v>27</v>
      </c>
      <c r="D11" s="11">
        <v>10</v>
      </c>
      <c r="E11" s="11"/>
      <c r="F11" s="11">
        <v>10</v>
      </c>
      <c r="G11" s="11"/>
      <c r="H11" s="6">
        <f>D11*45+ F11*12</f>
        <v>570</v>
      </c>
      <c r="I11" s="11">
        <v>76.099999999999994</v>
      </c>
      <c r="J11" s="12">
        <f>H11-I11</f>
        <v>493.9</v>
      </c>
      <c r="K11" s="13"/>
      <c r="L11" s="7">
        <f>J11*K11</f>
        <v>0</v>
      </c>
      <c r="M11" s="6"/>
    </row>
    <row r="12" spans="1:16" ht="18" customHeight="1" x14ac:dyDescent="0.35">
      <c r="A12" s="8" t="s">
        <v>21</v>
      </c>
      <c r="B12" s="9"/>
      <c r="C12" s="9"/>
      <c r="D12" s="14">
        <f>SUM(D10:D11)</f>
        <v>20</v>
      </c>
      <c r="E12" s="14">
        <f t="shared" ref="E12:L12" si="0">SUM(E10:E11)</f>
        <v>10</v>
      </c>
      <c r="F12" s="14">
        <f t="shared" si="0"/>
        <v>10</v>
      </c>
      <c r="G12" s="14">
        <f t="shared" si="0"/>
        <v>0</v>
      </c>
      <c r="H12" s="14">
        <f t="shared" si="0"/>
        <v>1020</v>
      </c>
      <c r="I12" s="14">
        <f t="shared" si="0"/>
        <v>122.39999999999999</v>
      </c>
      <c r="J12" s="14">
        <f t="shared" si="0"/>
        <v>897.59999999999991</v>
      </c>
      <c r="K12" s="14">
        <f t="shared" si="0"/>
        <v>0</v>
      </c>
      <c r="L12" s="14">
        <f>SUM(L10:L11)</f>
        <v>0</v>
      </c>
      <c r="M12" s="9"/>
    </row>
    <row r="13" spans="1:16" ht="18" customHeight="1" x14ac:dyDescent="0.35">
      <c r="A13" s="19" t="s">
        <v>22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0">
        <f>L12*0.08</f>
        <v>0</v>
      </c>
    </row>
    <row r="14" spans="1:16" ht="18" customHeight="1" x14ac:dyDescent="0.35">
      <c r="A14" s="19" t="s">
        <v>23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0">
        <f>L12+L13</f>
        <v>0</v>
      </c>
    </row>
    <row r="15" spans="1:16" ht="18" customHeight="1" x14ac:dyDescent="0.35">
      <c r="A15" s="1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0">
        <f>L14</f>
        <v>0</v>
      </c>
    </row>
    <row r="16" spans="1:16" ht="10" customHeight="1" x14ac:dyDescent="0.35"/>
    <row r="17" spans="1:13" ht="18" customHeight="1" x14ac:dyDescent="0.35">
      <c r="J17" s="20" t="str">
        <f>"TP Hồ Chí Minh, Ngày "&amp;TEXT(DAY(DATE($P$2,$P$1+1,0)),"00")&amp;" tháng "&amp;TEXT($P$1,"00")&amp;" năm "&amp;$P$2</f>
        <v>TP Hồ Chí Minh, Ngày 31 tháng 05 năm 2026</v>
      </c>
      <c r="K17" s="17"/>
      <c r="L17" s="17"/>
      <c r="M17" s="17"/>
    </row>
    <row r="18" spans="1:13" ht="18" customHeight="1" x14ac:dyDescent="0.35">
      <c r="A18" s="16" t="s">
        <v>24</v>
      </c>
      <c r="B18" s="17"/>
      <c r="C18" s="17"/>
      <c r="D18" s="17"/>
      <c r="J18" s="16" t="s">
        <v>25</v>
      </c>
      <c r="K18" s="17"/>
      <c r="L18" s="17"/>
      <c r="M18" s="17"/>
    </row>
  </sheetData>
  <mergeCells count="14">
    <mergeCell ref="A5:N5"/>
    <mergeCell ref="A1:N1"/>
    <mergeCell ref="A2:N2"/>
    <mergeCell ref="A3:N3"/>
    <mergeCell ref="O3:P3"/>
    <mergeCell ref="A4:N4"/>
    <mergeCell ref="A18:D18"/>
    <mergeCell ref="J18:M18"/>
    <mergeCell ref="A6:N6"/>
    <mergeCell ref="A7:N7"/>
    <mergeCell ref="A13:K13"/>
    <mergeCell ref="A14:K14"/>
    <mergeCell ref="A15:K15"/>
    <mergeCell ref="J17:M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2026-05-25T04:47:42Z</dcterms:modified>
</cp:coreProperties>
</file>