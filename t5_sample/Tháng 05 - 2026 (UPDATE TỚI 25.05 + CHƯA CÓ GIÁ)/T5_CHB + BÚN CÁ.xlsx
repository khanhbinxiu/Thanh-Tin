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B" sheetId="1" r:id="rId4"/>
    <sheet state="visible" name="BUN CA" sheetId="2" r:id="rId5"/>
  </sheets>
  <definedNames/>
  <calcPr/>
  <extLst>
    <ext uri="GoogleSheetsCustomDataVersion2">
      <go:sheetsCustomData xmlns:go="http://customooxmlschemas.google.com/" r:id="rId6" roundtripDataChecksum="i83ezuZYAHb4o816uUcxJs2u5t05f7r4VgLnNYnujsU="/>
    </ext>
  </extLst>
</workbook>
</file>

<file path=xl/sharedStrings.xml><?xml version="1.0" encoding="utf-8"?>
<sst xmlns="http://schemas.openxmlformats.org/spreadsheetml/2006/main" count="69" uniqueCount="30">
  <si>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</si>
  <si>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</si>
  <si>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</si>
  <si>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</si>
  <si>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</si>
  <si>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 xml:space="preserve">KHÁCH HÀNG: CHB LÊ HỮU KIỀU
ĐỊA CHỈ: 
MST: 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</si>
  <si>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</si>
  <si>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</si>
  <si>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</si>
  <si>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</si>
  <si>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</si>
  <si>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</si>
  <si>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</si>
  <si>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</si>
  <si>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</si>
  <si>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</si>
  <si>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</si>
  <si>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</si>
  <si>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</si>
  <si>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</si>
  <si>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</si>
  <si>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</si>
  <si>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CHB 307 tên lửa</t>
  </si>
  <si>
    <t>TỔNG</t>
  </si>
  <si>
    <t>Thuế GTGT (8%)</t>
  </si>
  <si>
    <t>Tổng tiền hàng (bao gồm GTGT 8%) là:</t>
  </si>
  <si>
    <t>Xác nhận của khách hàng</t>
  </si>
  <si>
    <t>Người lập</t>
  </si>
  <si>
    <t xml:space="preserve">KHÁCH HÀNG: BÚN CÁ SỮA
ĐỊA CHỈ: 
MST: </t>
  </si>
  <si>
    <t>BÚN CÁ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</si>
</sst>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#,##0.0"/>
  </numFmts>
  <fonts count="8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Arial"/>
    </font>
    <font>
      <b/>
      <sz val="13.0"/>
      <color theme="1"/>
      <name val="Arial"/>
    </font>
    <font>
      <i/>
      <sz val="8.0"/>
      <color rgb="FF888888"/>
      <name val="Arial"/>
    </font>
    <font>
      <sz val="10.0"/>
      <color theme="1"/>
      <name val="Arial"/>
    </font>
    <font>
      <i/>
      <sz val="9.0"/>
      <color theme="1"/>
      <name val="Arial"/>
    </font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E9EDF1"/>
        <bgColor rgb="FFE9EDF1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left" vertical="center"/>
    </xf>
    <xf borderId="1" fillId="0" fontId="5" numFmtId="164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right" vertical="center"/>
    </xf>
    <xf borderId="1" fillId="0" fontId="5" numFmtId="165" xfId="0" applyAlignment="1" applyBorder="1" applyFont="1" applyNumberFormat="1">
      <alignment horizontal="right" vertical="center"/>
    </xf>
    <xf borderId="1" fillId="5" fontId="5" numFmtId="0" xfId="0" applyAlignment="1" applyBorder="1" applyFill="1" applyFont="1">
      <alignment horizontal="right" vertical="center"/>
    </xf>
    <xf borderId="1" fillId="0" fontId="5" numFmtId="3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5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right" readingOrder="0" vertical="center"/>
    </xf>
    <xf borderId="1" fillId="6" fontId="1" numFmtId="0" xfId="0" applyAlignment="1" applyBorder="1" applyFill="1" applyFont="1">
      <alignment horizontal="left" vertical="center"/>
    </xf>
    <xf borderId="1" fillId="6" fontId="1" numFmtId="0" xfId="0" applyAlignment="1" applyBorder="1" applyFont="1">
      <alignment horizontal="right" vertical="center"/>
    </xf>
    <xf borderId="1" fillId="6" fontId="1" numFmtId="164" xfId="0" applyAlignment="1" applyBorder="1" applyFont="1" applyNumberFormat="1">
      <alignment horizontal="right" vertical="center"/>
    </xf>
    <xf borderId="0" fillId="0" fontId="5" numFmtId="0" xfId="0" applyFont="1"/>
    <xf borderId="0" fillId="0" fontId="1" numFmtId="3" xfId="0" applyAlignment="1" applyFont="1" applyNumberFormat="1">
      <alignment horizontal="right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46148.0</v>
      </c>
      <c r="C10" s="13" t="s">
        <v>22</v>
      </c>
      <c r="D10" s="14">
        <v>1.0</v>
      </c>
      <c r="E10" s="14">
        <v>1.0</v>
      </c>
      <c r="F10" s="14"/>
      <c r="G10" s="14"/>
      <c r="H10" s="15">
        <f t="shared" ref="H10:H11" si="1">D10*45+ F10*12</f>
        <v>45</v>
      </c>
      <c r="I10" s="14">
        <v>0.0</v>
      </c>
      <c r="J10" s="16">
        <f t="shared" ref="J10:J11" si="2">H10-I10</f>
        <v>45</v>
      </c>
      <c r="K10" s="17"/>
      <c r="L10" s="18">
        <f>J10*K10</f>
        <v>0</v>
      </c>
      <c r="M10" s="15"/>
    </row>
    <row r="11" ht="18.0" customHeight="1">
      <c r="A11" s="19">
        <v>2.0</v>
      </c>
      <c r="B11" s="20">
        <v>46166.0</v>
      </c>
      <c r="C11" s="13" t="s">
        <v>22</v>
      </c>
      <c r="D11" s="21">
        <v>1.0</v>
      </c>
      <c r="E11" s="21">
        <v>1.0</v>
      </c>
      <c r="F11" s="14"/>
      <c r="G11" s="14"/>
      <c r="H11" s="15">
        <f t="shared" si="1"/>
        <v>45</v>
      </c>
      <c r="I11" s="21">
        <v>3.2</v>
      </c>
      <c r="J11" s="16">
        <f t="shared" si="2"/>
        <v>41.8</v>
      </c>
      <c r="K11" s="17"/>
      <c r="L11" s="18"/>
      <c r="M11" s="15"/>
    </row>
    <row r="12" ht="18.0" customHeight="1">
      <c r="A12" s="22" t="s">
        <v>23</v>
      </c>
      <c r="B12" s="23"/>
      <c r="C12" s="23"/>
      <c r="D12" s="24">
        <f t="shared" ref="D12:L12" si="3">SUM(D10:D11)</f>
        <v>2</v>
      </c>
      <c r="E12" s="24">
        <f t="shared" si="3"/>
        <v>2</v>
      </c>
      <c r="F12" s="24">
        <f t="shared" si="3"/>
        <v>0</v>
      </c>
      <c r="G12" s="24">
        <f t="shared" si="3"/>
        <v>0</v>
      </c>
      <c r="H12" s="24">
        <f t="shared" si="3"/>
        <v>90</v>
      </c>
      <c r="I12" s="24">
        <f t="shared" si="3"/>
        <v>3.2</v>
      </c>
      <c r="J12" s="24">
        <f t="shared" si="3"/>
        <v>86.8</v>
      </c>
      <c r="K12" s="24">
        <f t="shared" si="3"/>
        <v>0</v>
      </c>
      <c r="L12" s="24">
        <f t="shared" si="3"/>
        <v>0</v>
      </c>
      <c r="M12" s="23"/>
    </row>
    <row r="13" ht="18.0" customHeight="1">
      <c r="A13" s="25" t="s">
        <v>24</v>
      </c>
      <c r="L13" s="26">
        <f>L12*0.08</f>
        <v>0</v>
      </c>
    </row>
    <row r="14" ht="18.0" customHeight="1">
      <c r="A14" s="25" t="s">
        <v>25</v>
      </c>
      <c r="L14" s="26">
        <f>L12+L13</f>
        <v>0</v>
      </c>
    </row>
    <row r="15" ht="18.0" customHeight="1">
      <c r="A15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5" s="26">
        <f>L14</f>
        <v>0</v>
      </c>
    </row>
    <row r="16" ht="9.75" customHeight="1"/>
    <row r="17" ht="18.0" customHeight="1">
      <c r="J17" s="27" t="str">
        <f>"TP Hồ Chí Minh, Ngày "&amp;TEXT(DAY(DATE($P$2,$P$1+1,0)),"00")&amp;" tháng "&amp;TEXT($P$1,"00")&amp;" năm "&amp;$P$2</f>
        <v>TP Hồ Chí Minh, Ngày 31 tháng 05 năm 2026</v>
      </c>
    </row>
    <row r="18" ht="18.0" customHeight="1">
      <c r="A18" s="28" t="s">
        <v>26</v>
      </c>
      <c r="J18" s="28" t="s">
        <v>27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4">
    <mergeCell ref="A7:N7"/>
    <mergeCell ref="A13:K13"/>
    <mergeCell ref="A14:K14"/>
    <mergeCell ref="A15:K15"/>
    <mergeCell ref="J17:M17"/>
    <mergeCell ref="A18:D18"/>
    <mergeCell ref="J18:M18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28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46152.0</v>
      </c>
      <c r="C10" s="13" t="s">
        <v>29</v>
      </c>
      <c r="D10" s="14">
        <v>2.0</v>
      </c>
      <c r="E10" s="14">
        <v>2.0</v>
      </c>
      <c r="F10" s="14">
        <v>3.0</v>
      </c>
      <c r="G10" s="14">
        <v>2.0</v>
      </c>
      <c r="H10" s="15">
        <f>D10*45+ F10*12</f>
        <v>126</v>
      </c>
      <c r="I10" s="14">
        <v>51.1</v>
      </c>
      <c r="J10" s="16">
        <f>H10-I10</f>
        <v>74.9</v>
      </c>
      <c r="K10" s="17"/>
      <c r="L10" s="18">
        <f>J10*K10</f>
        <v>0</v>
      </c>
      <c r="M10" s="15"/>
    </row>
    <row r="11" ht="18.0" customHeight="1">
      <c r="A11" s="22" t="s">
        <v>23</v>
      </c>
      <c r="B11" s="23"/>
      <c r="C11" s="23"/>
      <c r="D11" s="24">
        <f t="shared" ref="D11:J11" si="1">SUM(D10)</f>
        <v>2</v>
      </c>
      <c r="E11" s="24">
        <f t="shared" si="1"/>
        <v>2</v>
      </c>
      <c r="F11" s="24">
        <f t="shared" si="1"/>
        <v>3</v>
      </c>
      <c r="G11" s="24">
        <f t="shared" si="1"/>
        <v>2</v>
      </c>
      <c r="H11" s="24">
        <f t="shared" si="1"/>
        <v>126</v>
      </c>
      <c r="I11" s="24">
        <f t="shared" si="1"/>
        <v>51.1</v>
      </c>
      <c r="J11" s="24">
        <f t="shared" si="1"/>
        <v>74.9</v>
      </c>
      <c r="K11" s="23"/>
      <c r="L11" s="24">
        <f>SUM(L10)</f>
        <v>0</v>
      </c>
      <c r="M11" s="23"/>
    </row>
    <row r="12" ht="18.0" customHeight="1">
      <c r="A12" s="25" t="s">
        <v>24</v>
      </c>
      <c r="L12" s="26">
        <f>L11*0.08</f>
        <v>0</v>
      </c>
    </row>
    <row r="13" ht="18.0" customHeight="1">
      <c r="A13" s="25" t="s">
        <v>25</v>
      </c>
      <c r="L13" s="26">
        <f>L11+L12</f>
        <v>0</v>
      </c>
    </row>
    <row r="14" ht="18.0" customHeight="1">
      <c r="A14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4" s="26">
        <f>L13</f>
        <v>0</v>
      </c>
    </row>
    <row r="15" ht="9.75" customHeight="1"/>
    <row r="16" ht="18.0" customHeight="1">
      <c r="J16" s="27" t="str">
        <f>"TP Hồ Chí Minh, Ngày "&amp;TEXT(DAY(DATE($P$2,$P$1+1,0)),"00")&amp;" tháng "&amp;TEXT($P$1,"00")&amp;" năm "&amp;$P$2</f>
        <v>TP Hồ Chí Minh, Ngày 31 tháng 05 năm 2026</v>
      </c>
    </row>
    <row r="17" ht="18.0" customHeight="1">
      <c r="A17" s="28" t="s">
        <v>26</v>
      </c>
      <c r="J17" s="28" t="s">
        <v>27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7:N7"/>
    <mergeCell ref="A12:K12"/>
    <mergeCell ref="A13:K13"/>
    <mergeCell ref="A14:K14"/>
    <mergeCell ref="J16:M16"/>
    <mergeCell ref="A17:D17"/>
    <mergeCell ref="J17:M17"/>
    <mergeCell ref="A1:N1"/>
    <mergeCell ref="A2:N2"/>
    <mergeCell ref="A3:N3"/>
    <mergeCell ref="O3:P3"/>
    <mergeCell ref="A4:N4"/>
    <mergeCell ref="A5:N5"/>
    <mergeCell ref="A6:N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2026-05-25T04:01:05Z</dcterms:created>
  <dc:creator>openpyxl</dc:creator>
</cp:coreProperties>
</file>