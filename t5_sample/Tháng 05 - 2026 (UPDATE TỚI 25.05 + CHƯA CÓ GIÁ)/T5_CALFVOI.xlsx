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anh Vu\Downloads\Tháng 5\"/>
    </mc:Choice>
  </mc:AlternateContent>
  <xr:revisionPtr revIDLastSave="0" documentId="13_ncr:1_{7EBFE244-DCFB-432E-AF2D-D522A34E6C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ÔNG NỢ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4" l="1"/>
  <c r="K13" i="4"/>
  <c r="J13" i="4"/>
  <c r="I13" i="4"/>
  <c r="H13" i="4"/>
  <c r="G13" i="4"/>
  <c r="F13" i="4"/>
  <c r="E13" i="4"/>
  <c r="D13" i="4"/>
  <c r="L11" i="4"/>
  <c r="L12" i="4"/>
  <c r="J11" i="4"/>
  <c r="J12" i="4"/>
  <c r="H11" i="4"/>
  <c r="H12" i="4"/>
  <c r="J18" i="4" l="1"/>
  <c r="A16" i="4"/>
  <c r="H10" i="4"/>
  <c r="J10" i="4" s="1"/>
  <c r="A6" i="4"/>
  <c r="A3" i="4"/>
  <c r="L10" i="4" l="1"/>
  <c r="L14" i="4" l="1"/>
  <c r="L15" i="4" s="1"/>
  <c r="L16" i="4" s="1"/>
</calcChain>
</file>

<file path=xl/sharedStrings.xml><?xml version="1.0" encoding="utf-8"?>
<sst xmlns="http://schemas.openxmlformats.org/spreadsheetml/2006/main" count="36" uniqueCount="28">
  <si>
    <t>CÔNG TY TNHH THƯƠNG MẠI DỊCH VỤ THÀNH TÍN LBG
115/22/60 BIS Đường Nguyễn Du, Phường 7, Quận Bình Thạnh, TP HCM</t>
  </si>
  <si>
    <t>Tháng:</t>
  </si>
  <si>
    <t>BIÊN BẢN ĐỐI CHIẾU CÔNG NỢ</t>
  </si>
  <si>
    <t>Năm:</t>
  </si>
  <si>
    <t>(Chỉ sửa 2 ô vàng này)</t>
  </si>
  <si>
    <t>Hai bên thống nhất số lượng bên B mua của bên A như sau:</t>
  </si>
  <si>
    <t>2. Khối lượng hàng hóa theo bảng kê chi tiết:</t>
  </si>
  <si>
    <t>STT</t>
  </si>
  <si>
    <t>Ngày giao</t>
  </si>
  <si>
    <t>Nội Dung</t>
  </si>
  <si>
    <t>Bình Giao</t>
  </si>
  <si>
    <t>Trả vỏ</t>
  </si>
  <si>
    <t>Gas giao</t>
  </si>
  <si>
    <t>Gas trả</t>
  </si>
  <si>
    <t>Gas thanh toán</t>
  </si>
  <si>
    <t>Đơn giá chưa VAT (vnđ/kg)</t>
  </si>
  <si>
    <t>Thành Tiền</t>
  </si>
  <si>
    <t>Ghi chú</t>
  </si>
  <si>
    <t>B45kg</t>
  </si>
  <si>
    <t>B12kg</t>
  </si>
  <si>
    <t>Kg</t>
  </si>
  <si>
    <t>TỔNG</t>
  </si>
  <si>
    <t>Thuế GTGT (8%)</t>
  </si>
  <si>
    <t>Tổng tiền hàng (bao gồm GTGT 8%) là:</t>
  </si>
  <si>
    <t>Xác nhận của khách hàng</t>
  </si>
  <si>
    <t>Người lập</t>
  </si>
  <si>
    <t>KHÁCH HÀNG: CÔNG TY TNHH CALFVOI (VIỆT NAM)
ĐỊA CHỈ: Lô B3, đường số 8, KCN Thuận Đạo mở rộng, xã Long Định, huyện Cần Đước, tỉnh Long An, Việt Nam.
MST: 1102075197</t>
  </si>
  <si>
    <t>CALFVOI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</si>
</sst>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#,##0.0"/>
  </numFmts>
  <fonts count="8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i/>
      <sz val="8"/>
      <color rgb="FF888888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E9EDF1"/>
      </patternFill>
    </fill>
    <fill>
      <patternFill patternType="solid">
        <fgColor rgb="FFF2F2F2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right" vertical="center"/>
    </xf>
    <xf numFmtId="3" fontId="1" fillId="0" borderId="0" xfId="0" applyNumberFormat="1" applyFont="1" applyAlignment="1">
      <alignment horizontal="right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164" fontId="1" fillId="5" borderId="1" xfId="0" applyNumberFormat="1" applyFont="1" applyFill="1" applyBorder="1" applyAlignment="1">
      <alignment horizontal="right" vertical="center"/>
    </xf>
    <xf numFmtId="15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left" vertical="center" wrapText="1"/>
    </xf>
    <xf numFmtId="164" fontId="5" fillId="0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9780-CAEC-45C0-905F-09F2ADC77631}">
  <dimension ref="A1:P19"/>
  <sheetViews>
    <sheetView tabSelected="1" zoomScale="70" zoomScaleNormal="70" workbookViewId="0">
      <selection activeCell="J13" sqref="J13"/>
    </sheetView>
  </sheetViews>
  <sheetFormatPr defaultRowHeight="14.5"/>
  <cols>
    <col min="1" max="1" width="6" customWidth="1"/>
    <col min="2" max="2" width="13" customWidth="1"/>
    <col min="3" max="3" width="20" customWidth="1"/>
    <col min="4" max="7" width="8" customWidth="1"/>
    <col min="8" max="9" width="10" customWidth="1"/>
    <col min="10" max="10" width="13" customWidth="1"/>
    <col min="11" max="12" width="16" customWidth="1"/>
    <col min="13" max="13" width="14" customWidth="1"/>
  </cols>
  <sheetData>
    <row r="1" spans="1:16" ht="30" customHeight="1">
      <c r="A1" s="22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" t="s">
        <v>1</v>
      </c>
      <c r="P1" s="2">
        <v>5</v>
      </c>
    </row>
    <row r="2" spans="1:16" ht="22" customHeight="1">
      <c r="A2" s="23" t="s">
        <v>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" t="s">
        <v>3</v>
      </c>
      <c r="P2" s="2">
        <v>2026</v>
      </c>
    </row>
    <row r="3" spans="1:16" ht="18" customHeight="1">
      <c r="A3" s="24" t="str">
        <f>"(THÁNG "&amp;TEXT($P$1,"00")&amp;"/"&amp;$P$2&amp;")"</f>
        <v>(THÁNG 05/2026)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25" t="s">
        <v>4</v>
      </c>
      <c r="P3" s="18"/>
    </row>
    <row r="4" spans="1:16" ht="42" customHeight="1">
      <c r="A4" s="26" t="s">
        <v>26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6" ht="16" customHeight="1">
      <c r="A5" s="19" t="s">
        <v>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6" ht="16" customHeight="1">
      <c r="A6" s="19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6" ht="16" customHeight="1">
      <c r="A7" s="19" t="s">
        <v>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6" ht="32" customHeight="1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  <c r="K8" s="3" t="s">
        <v>15</v>
      </c>
      <c r="L8" s="3" t="s">
        <v>16</v>
      </c>
      <c r="M8" s="3" t="s">
        <v>17</v>
      </c>
    </row>
    <row r="9" spans="1:16" ht="16" customHeight="1">
      <c r="A9" s="4"/>
      <c r="B9" s="4"/>
      <c r="C9" s="4"/>
      <c r="D9" s="4" t="s">
        <v>18</v>
      </c>
      <c r="E9" s="4" t="s">
        <v>18</v>
      </c>
      <c r="F9" s="4" t="s">
        <v>19</v>
      </c>
      <c r="G9" s="4" t="s">
        <v>19</v>
      </c>
      <c r="H9" s="4" t="s">
        <v>20</v>
      </c>
      <c r="I9" s="4" t="s">
        <v>20</v>
      </c>
      <c r="J9" s="4" t="s">
        <v>20</v>
      </c>
      <c r="K9" s="4"/>
      <c r="L9" s="4"/>
      <c r="M9" s="4"/>
    </row>
    <row r="10" spans="1:16" ht="18" customHeight="1">
      <c r="A10" s="5">
        <v>1</v>
      </c>
      <c r="B10" s="15">
        <v>46144</v>
      </c>
      <c r="C10" s="16" t="s">
        <v>27</v>
      </c>
      <c r="D10" s="27">
        <v>10</v>
      </c>
      <c r="E10" s="11">
        <v>20</v>
      </c>
      <c r="F10" s="11">
        <v>0</v>
      </c>
      <c r="G10" s="11">
        <v>0</v>
      </c>
      <c r="H10" s="6">
        <f>D10*45+ F10*12</f>
        <v>450</v>
      </c>
      <c r="I10" s="11">
        <v>23.1</v>
      </c>
      <c r="J10" s="12">
        <f>H10-I10</f>
        <v>426.9</v>
      </c>
      <c r="K10" s="13"/>
      <c r="L10" s="7">
        <f>J10*K10</f>
        <v>0</v>
      </c>
      <c r="M10" s="6"/>
    </row>
    <row r="11" spans="1:16" ht="18" customHeight="1">
      <c r="A11" s="5">
        <v>2</v>
      </c>
      <c r="B11" s="15">
        <v>46147</v>
      </c>
      <c r="C11" s="16" t="s">
        <v>27</v>
      </c>
      <c r="D11" s="27">
        <v>5</v>
      </c>
      <c r="E11" s="11">
        <v>15</v>
      </c>
      <c r="F11" s="11">
        <v>0</v>
      </c>
      <c r="G11" s="11">
        <v>0</v>
      </c>
      <c r="H11" s="6">
        <f t="shared" ref="H11:H12" si="0">D11*45+ F11*12</f>
        <v>225</v>
      </c>
      <c r="I11" s="11">
        <v>6.6</v>
      </c>
      <c r="J11" s="12">
        <f t="shared" ref="J11:J12" si="1">H11-I11</f>
        <v>218.4</v>
      </c>
      <c r="K11" s="13"/>
      <c r="L11" s="7">
        <f t="shared" ref="L11:L12" si="2">J11*K11</f>
        <v>0</v>
      </c>
      <c r="M11" s="6"/>
    </row>
    <row r="12" spans="1:16" ht="18" customHeight="1">
      <c r="A12" s="5">
        <v>3</v>
      </c>
      <c r="B12" s="15">
        <v>46156</v>
      </c>
      <c r="C12" s="16" t="s">
        <v>27</v>
      </c>
      <c r="D12" s="27">
        <v>0</v>
      </c>
      <c r="E12" s="11">
        <v>6</v>
      </c>
      <c r="F12" s="11">
        <v>0</v>
      </c>
      <c r="G12" s="11">
        <v>0</v>
      </c>
      <c r="H12" s="6">
        <f t="shared" si="0"/>
        <v>0</v>
      </c>
      <c r="I12" s="11">
        <v>5</v>
      </c>
      <c r="J12" s="12">
        <f t="shared" si="1"/>
        <v>-5</v>
      </c>
      <c r="K12" s="13"/>
      <c r="L12" s="7">
        <f t="shared" si="2"/>
        <v>0</v>
      </c>
      <c r="M12" s="6"/>
    </row>
    <row r="13" spans="1:16" ht="18" customHeight="1">
      <c r="A13" s="8" t="s">
        <v>21</v>
      </c>
      <c r="B13" s="9"/>
      <c r="C13" s="9"/>
      <c r="D13" s="14">
        <f>SUM(D10:D12)</f>
        <v>15</v>
      </c>
      <c r="E13" s="14">
        <f t="shared" ref="E13:L13" si="3">SUM(E10:E12)</f>
        <v>41</v>
      </c>
      <c r="F13" s="14">
        <f t="shared" si="3"/>
        <v>0</v>
      </c>
      <c r="G13" s="14">
        <f t="shared" si="3"/>
        <v>0</v>
      </c>
      <c r="H13" s="14">
        <f t="shared" si="3"/>
        <v>675</v>
      </c>
      <c r="I13" s="14">
        <f t="shared" si="3"/>
        <v>34.700000000000003</v>
      </c>
      <c r="J13" s="14">
        <f t="shared" si="3"/>
        <v>640.29999999999995</v>
      </c>
      <c r="K13" s="14">
        <f t="shared" si="3"/>
        <v>0</v>
      </c>
      <c r="L13" s="14">
        <f t="shared" si="3"/>
        <v>0</v>
      </c>
      <c r="M13" s="9"/>
    </row>
    <row r="14" spans="1:16" ht="18" customHeight="1">
      <c r="A14" s="20" t="s">
        <v>22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0">
        <f>L13*0.08</f>
        <v>0</v>
      </c>
    </row>
    <row r="15" spans="1:16" ht="18" customHeight="1">
      <c r="A15" s="20" t="s">
        <v>23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0">
        <f>L13+L14</f>
        <v>0</v>
      </c>
    </row>
    <row r="16" spans="1:16" ht="18" customHeight="1">
      <c r="A16" s="19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0">
        <f>L15</f>
        <v>0</v>
      </c>
    </row>
    <row r="17" spans="1:13" ht="10" customHeight="1"/>
    <row r="18" spans="1:13" ht="18" customHeight="1">
      <c r="J18" s="21" t="str">
        <f>"TP Hồ Chí Minh, Ngày "&amp;TEXT(DAY(DATE($P$2,$P$1+1,0)),"00")&amp;" tháng "&amp;TEXT($P$1,"00")&amp;" năm "&amp;$P$2</f>
        <v>TP Hồ Chí Minh, Ngày 31 tháng 05 năm 2026</v>
      </c>
      <c r="K18" s="18"/>
      <c r="L18" s="18"/>
      <c r="M18" s="18"/>
    </row>
    <row r="19" spans="1:13" ht="18" customHeight="1">
      <c r="A19" s="17" t="s">
        <v>24</v>
      </c>
      <c r="B19" s="18"/>
      <c r="C19" s="18"/>
      <c r="D19" s="18"/>
      <c r="J19" s="17" t="s">
        <v>25</v>
      </c>
      <c r="K19" s="18"/>
      <c r="L19" s="18"/>
      <c r="M19" s="18"/>
    </row>
  </sheetData>
  <mergeCells count="14">
    <mergeCell ref="A5:N5"/>
    <mergeCell ref="A1:N1"/>
    <mergeCell ref="A2:N2"/>
    <mergeCell ref="A3:N3"/>
    <mergeCell ref="O3:P3"/>
    <mergeCell ref="A4:N4"/>
    <mergeCell ref="A19:D19"/>
    <mergeCell ref="J19:M19"/>
    <mergeCell ref="A6:N6"/>
    <mergeCell ref="A7:N7"/>
    <mergeCell ref="A14:K14"/>
    <mergeCell ref="A15:K15"/>
    <mergeCell ref="A16:K16"/>
    <mergeCell ref="J18:M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NỢ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 Vu An</cp:lastModifiedBy>
  <dcterms:created xsi:type="dcterms:W3CDTF">2026-05-25T04:01:05Z</dcterms:created>
  <dcterms:modified xsi:type="dcterms:W3CDTF">2026-05-25T06:29:46Z</dcterms:modified>
</cp:coreProperties>
</file>