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LIM1" sheetId="1" r:id="rId4"/>
    <sheet state="visible" name="SANLIM AP" sheetId="2" r:id="rId5"/>
    <sheet state="visible" name="SP" sheetId="3" r:id="rId6"/>
    <sheet state="visible" name="SANOFI" sheetId="4" r:id="rId7"/>
    <sheet state="visible" name="P&amp;G" sheetId="5" r:id="rId8"/>
    <sheet state="visible" name="MITSUBISHI" sheetId="6" r:id="rId9"/>
    <sheet state="visible" name="PVM" sheetId="7" r:id="rId10"/>
    <sheet state="visible" name="STEC" sheetId="8" r:id="rId11"/>
    <sheet state="visible" name="lww VN DS5" sheetId="9" r:id="rId12"/>
    <sheet state="visible" name="lww SG DS6" sheetId="10" r:id="rId13"/>
  </sheets>
  <definedNames/>
  <calcPr/>
  <extLst>
    <ext uri="GoogleSheetsCustomDataVersion2">
      <go:sheetsCustomData xmlns:go="http://customooxmlschemas.google.com/" r:id="rId14" roundtripDataChecksum="uRvwsrD8tfKdFA4ei6zhoVLjmij6vMsGrb579XyQpt8="/>
    </ext>
  </extLst>
</workbook>
</file>

<file path=xl/sharedStrings.xml><?xml version="1.0" encoding="utf-8"?>
<sst xmlns="http://schemas.openxmlformats.org/spreadsheetml/2006/main" count="356" uniqueCount="37">
  <si>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</si>
  <si>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</si>
  <si>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</si>
  <si>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</si>
  <si>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vàng)</t>
  </si>
  <si>
    <t xml:space="preserve">CÔNG TY TNHH SUẤT ĂN CÔNG NGHIỆP THIÊN HÀ
ĐỊA CHỈ: 69-71 Đường 17, KCN Tân Bình, Phường Tây Thạnh, Quận Tân Phú, TP.HCM
MST: 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</si>
  <si>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</si>
  <si>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</si>
  <si>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</si>
  <si>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</si>
  <si>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</si>
  <si>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</si>
  <si>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</si>
  <si>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</si>
  <si>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</si>
  <si>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</si>
  <si>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</si>
  <si>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</si>
  <si>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</si>
  <si>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</si>
  <si>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</si>
  <si>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</si>
  <si>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SANLIM1</t>
  </si>
  <si>
    <t>TỔNG</t>
  </si>
  <si>
    <t>Thuế GTGT (8%)</t>
  </si>
  <si>
    <t>Tổng tiền hàng (bao gồm GTGT 8%) là:</t>
  </si>
  <si>
    <t>Xác nhận của khách hàng</t>
  </si>
  <si>
    <t>Người lập</t>
  </si>
  <si>
    <t>SANLIM AN PHƯỚC</t>
  </si>
  <si>
    <t>SCANCIA PACIFIC</t>
  </si>
  <si>
    <t>SANOFI</t>
  </si>
  <si>
    <t>P&amp;G</t>
  </si>
  <si>
    <t>MITSUBISHI</t>
  </si>
  <si>
    <t>PVM</t>
  </si>
  <si>
    <t>STEC</t>
  </si>
  <si>
    <t>LIWAYWAY VN</t>
  </si>
  <si>
    <t>LIWAYWAY SG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</si>
</sst>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_(* #,##0_);_(* \(#,##0\);_(* &quot;-&quot;??_);_(@_)"/>
  </numFmts>
  <fonts count="8">
    <font>
      <sz val="11.0"/>
      <color theme="1"/>
      <name val="Calibri"/>
      <scheme val="minor"/>
    </font>
    <font>
      <b/>
      <sz val="10.0"/>
      <color theme="1"/>
      <name val="Arial"/>
    </font>
    <font>
      <b/>
      <sz val="11.0"/>
      <color theme="1"/>
      <name val="Arial"/>
    </font>
    <font>
      <b/>
      <sz val="13.0"/>
      <color theme="1"/>
      <name val="Arial"/>
    </font>
    <font>
      <i/>
      <sz val="8.0"/>
      <color rgb="FF888888"/>
      <name val="Arial"/>
    </font>
    <font>
      <sz val="10.0"/>
      <color theme="1"/>
      <name val="Arial"/>
    </font>
    <font>
      <i/>
      <sz val="9.0"/>
      <color theme="1"/>
      <name val="Arial"/>
    </font>
    <font>
      <i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6DCE4"/>
        <bgColor rgb="FFD6DCE4"/>
      </patternFill>
    </fill>
    <fill>
      <patternFill patternType="solid">
        <fgColor rgb="FFE9EDF1"/>
        <bgColor rgb="FFE9EDF1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4" numFmtId="0" xfId="0" applyFont="1"/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right" vertical="center"/>
    </xf>
    <xf borderId="1" fillId="0" fontId="5" numFmtId="165" xfId="0" applyAlignment="1" applyBorder="1" applyFont="1" applyNumberFormat="1">
      <alignment horizontal="right" vertical="center"/>
    </xf>
    <xf borderId="1" fillId="0" fontId="5" numFmtId="3" xfId="0" applyAlignment="1" applyBorder="1" applyFont="1" applyNumberFormat="1">
      <alignment horizontal="right" vertical="center"/>
    </xf>
    <xf borderId="1" fillId="0" fontId="5" numFmtId="0" xfId="0" applyBorder="1" applyFont="1"/>
    <xf borderId="1" fillId="0" fontId="5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right" readingOrder="0" vertical="center"/>
    </xf>
    <xf borderId="1" fillId="5" fontId="1" numFmtId="0" xfId="0" applyAlignment="1" applyBorder="1" applyFill="1" applyFont="1">
      <alignment horizontal="left" vertical="center"/>
    </xf>
    <xf borderId="1" fillId="5" fontId="1" numFmtId="0" xfId="0" applyAlignment="1" applyBorder="1" applyFont="1">
      <alignment horizontal="right" vertical="center"/>
    </xf>
    <xf borderId="1" fillId="5" fontId="1" numFmtId="165" xfId="0" applyAlignment="1" applyBorder="1" applyFont="1" applyNumberFormat="1">
      <alignment horizontal="right" vertical="center"/>
    </xf>
    <xf borderId="1" fillId="5" fontId="1" numFmtId="3" xfId="0" applyAlignment="1" applyBorder="1" applyFont="1" applyNumberFormat="1">
      <alignment horizontal="right" vertical="center"/>
    </xf>
    <xf borderId="0" fillId="0" fontId="5" numFmtId="0" xfId="0" applyFont="1"/>
    <xf borderId="0" fillId="0" fontId="1" numFmtId="3" xfId="0" applyAlignment="1" applyFont="1" applyNumberFormat="1">
      <alignment horizontal="right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165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3" width="20.0"/>
    <col customWidth="1" min="4" max="7" width="8.0"/>
    <col customWidth="1" min="8" max="9" width="10.0"/>
    <col customWidth="1" min="10" max="10" width="13.0"/>
    <col customWidth="1" min="11" max="12" width="16.0"/>
    <col customWidth="1" min="13" max="13" width="14.0"/>
    <col customWidth="1" min="14" max="26" width="8.71"/>
  </cols>
  <sheetData>
    <row r="1" ht="30.0" customHeight="1">
      <c r="A1" s="1" t="s">
        <v>0</v>
      </c>
      <c r="O1" s="2" t="s">
        <v>1</v>
      </c>
      <c r="P1" s="3">
        <v>5.0</v>
      </c>
    </row>
    <row r="2" ht="21.75" customHeight="1">
      <c r="A2" s="4" t="s">
        <v>2</v>
      </c>
      <c r="O2" s="2" t="s">
        <v>3</v>
      </c>
      <c r="P2" s="3">
        <v>2026.0</v>
      </c>
    </row>
    <row r="3" ht="18.0" customHeight="1">
      <c r="A3" s="5" t="str">
        <f>"(THÁNG "&amp;TEXT($P$1,"00")&amp;"/"&amp;$P$2&amp;")"</f>
        <v>(THÁNG 05/2026)</v>
      </c>
      <c r="O3" s="6" t="s">
        <v>4</v>
      </c>
    </row>
    <row r="4" ht="42.0" customHeight="1">
      <c r="A4" s="7" t="s">
        <v>5</v>
      </c>
    </row>
    <row r="5" ht="15.75" customHeight="1">
      <c r="A5" s="8" t="s">
        <v>6</v>
      </c>
    </row>
    <row r="6" ht="15.75" customHeight="1">
      <c r="A6" s="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</row>
    <row r="7" ht="15.75" customHeight="1">
      <c r="A7" s="8" t="s">
        <v>7</v>
      </c>
    </row>
    <row r="8" ht="31.5" customHeigh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</row>
    <row r="9" ht="15.75" customHeight="1">
      <c r="A9" s="10"/>
      <c r="B9" s="10"/>
      <c r="C9" s="10"/>
      <c r="D9" s="10" t="s">
        <v>19</v>
      </c>
      <c r="E9" s="10" t="s">
        <v>19</v>
      </c>
      <c r="F9" s="10" t="s">
        <v>20</v>
      </c>
      <c r="G9" s="10" t="s">
        <v>20</v>
      </c>
      <c r="H9" s="10" t="s">
        <v>21</v>
      </c>
      <c r="I9" s="10" t="s">
        <v>21</v>
      </c>
      <c r="J9" s="10" t="s">
        <v>21</v>
      </c>
      <c r="K9" s="10"/>
      <c r="L9" s="10"/>
      <c r="M9" s="10"/>
    </row>
    <row r="10" ht="18.0" customHeight="1">
      <c r="A10" s="11">
        <v>1.0</v>
      </c>
      <c r="B10" s="12">
        <v>46147.0</v>
      </c>
      <c r="C10" s="13" t="s">
        <v>22</v>
      </c>
      <c r="D10" s="14">
        <v>25.0</v>
      </c>
      <c r="E10" s="14">
        <v>25.0</v>
      </c>
      <c r="F10" s="14">
        <v>0.0</v>
      </c>
      <c r="G10" s="14">
        <v>0.0</v>
      </c>
      <c r="H10" s="14">
        <f t="shared" ref="H10:H11" si="1">D10*45+F10*12</f>
        <v>1125</v>
      </c>
      <c r="I10" s="15">
        <v>254.6</v>
      </c>
      <c r="J10" s="15">
        <f t="shared" ref="J10:J11" si="2">H10-I10</f>
        <v>870.4</v>
      </c>
      <c r="K10" s="16"/>
      <c r="L10" s="16">
        <f t="shared" ref="L10:L11" si="3">K10*J10</f>
        <v>0</v>
      </c>
      <c r="M10" s="17"/>
    </row>
    <row r="11" ht="18.0" customHeight="1">
      <c r="A11" s="11">
        <v>2.0</v>
      </c>
      <c r="B11" s="18">
        <v>46164.0</v>
      </c>
      <c r="C11" s="13" t="s">
        <v>22</v>
      </c>
      <c r="D11" s="19">
        <v>24.0</v>
      </c>
      <c r="E11" s="19">
        <v>24.0</v>
      </c>
      <c r="F11" s="19">
        <v>0.0</v>
      </c>
      <c r="G11" s="19">
        <v>0.0</v>
      </c>
      <c r="H11" s="14">
        <f t="shared" si="1"/>
        <v>1080</v>
      </c>
      <c r="I11" s="15">
        <v>254.6</v>
      </c>
      <c r="J11" s="15">
        <f t="shared" si="2"/>
        <v>825.4</v>
      </c>
      <c r="K11" s="16"/>
      <c r="L11" s="16">
        <f t="shared" si="3"/>
        <v>0</v>
      </c>
      <c r="M11" s="17"/>
    </row>
    <row r="12" ht="18.0" customHeight="1">
      <c r="A12" s="20" t="s">
        <v>23</v>
      </c>
      <c r="B12" s="21"/>
      <c r="C12" s="21"/>
      <c r="D12" s="21">
        <f t="shared" ref="D12:L12" si="4">SUM(D10:D11)</f>
        <v>49</v>
      </c>
      <c r="E12" s="21">
        <f t="shared" si="4"/>
        <v>49</v>
      </c>
      <c r="F12" s="21">
        <f t="shared" si="4"/>
        <v>0</v>
      </c>
      <c r="G12" s="21">
        <f t="shared" si="4"/>
        <v>0</v>
      </c>
      <c r="H12" s="21">
        <f t="shared" si="4"/>
        <v>2205</v>
      </c>
      <c r="I12" s="22">
        <f t="shared" si="4"/>
        <v>509.2</v>
      </c>
      <c r="J12" s="22">
        <f t="shared" si="4"/>
        <v>1695.8</v>
      </c>
      <c r="K12" s="23">
        <f t="shared" si="4"/>
        <v>0</v>
      </c>
      <c r="L12" s="23">
        <f t="shared" si="4"/>
        <v>0</v>
      </c>
      <c r="M12" s="21"/>
    </row>
    <row r="13" ht="18.0" customHeight="1">
      <c r="A13" s="24" t="s">
        <v>24</v>
      </c>
      <c r="L13" s="25">
        <f>L12*0.08</f>
        <v>0</v>
      </c>
    </row>
    <row r="14" ht="18.0" customHeight="1">
      <c r="A14" s="24" t="s">
        <v>25</v>
      </c>
      <c r="L14" s="25">
        <f>L12+L13</f>
        <v>0</v>
      </c>
    </row>
    <row r="15" ht="14.25" customHeight="1">
      <c r="A15" s="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L15" s="25">
        <f>L14</f>
        <v>0</v>
      </c>
    </row>
    <row r="16" ht="18.0" customHeight="1"/>
    <row r="17" ht="18.0" customHeight="1">
      <c r="J17" s="26" t="str">
        <f>"TP Hồ Chí Minh, Ngày "&amp;TEXT(DAY(DATE($P$2,$P$1+1,0)),"00")&amp;" tháng "&amp;TEXT($P$1,"00")&amp;" năm "&amp;$P$2</f>
        <v>TP Hồ Chí Minh, Ngày 31 tháng 05 năm 2026</v>
      </c>
    </row>
    <row r="18" ht="14.25" customHeight="1">
      <c r="A18" s="27" t="s">
        <v>26</v>
      </c>
      <c r="J18" s="27" t="s">
        <v>27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1:N1"/>
    <mergeCell ref="A2:N2"/>
    <mergeCell ref="A3:N3"/>
    <mergeCell ref="O3:P3"/>
    <mergeCell ref="A4:N4"/>
    <mergeCell ref="A5:N5"/>
    <mergeCell ref="A6:N6"/>
    <mergeCell ref="A7:N7"/>
    <mergeCell ref="A13:K13"/>
    <mergeCell ref="A14:K14"/>
    <mergeCell ref="A15:K15"/>
    <mergeCell ref="J17:M17"/>
    <mergeCell ref="A18:D18"/>
    <mergeCell ref="J18:M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3" width="20.0"/>
    <col customWidth="1" min="4" max="7" width="8.0"/>
    <col customWidth="1" min="8" max="9" width="10.0"/>
    <col customWidth="1" min="10" max="10" width="13.0"/>
    <col customWidth="1" min="11" max="12" width="16.0"/>
    <col customWidth="1" min="13" max="13" width="14.0"/>
    <col customWidth="1" min="14" max="26" width="8.71"/>
  </cols>
  <sheetData>
    <row r="1" ht="30.0" customHeight="1">
      <c r="A1" s="1" t="s">
        <v>0</v>
      </c>
      <c r="O1" s="2" t="s">
        <v>1</v>
      </c>
      <c r="P1" s="3">
        <v>5.0</v>
      </c>
    </row>
    <row r="2" ht="21.75" customHeight="1">
      <c r="A2" s="4" t="s">
        <v>2</v>
      </c>
      <c r="O2" s="2" t="s">
        <v>3</v>
      </c>
      <c r="P2" s="3">
        <v>2026.0</v>
      </c>
    </row>
    <row r="3" ht="18.0" customHeight="1">
      <c r="A3" s="5" t="str">
        <f>"(THÁNG "&amp;TEXT($P$1,"00")&amp;"/"&amp;$P$2&amp;")"</f>
        <v>(THÁNG 05/2026)</v>
      </c>
      <c r="O3" s="6" t="s">
        <v>4</v>
      </c>
    </row>
    <row r="4" ht="42.0" customHeight="1">
      <c r="A4" s="7" t="s">
        <v>5</v>
      </c>
    </row>
    <row r="5" ht="15.75" customHeight="1">
      <c r="A5" s="8" t="s">
        <v>6</v>
      </c>
    </row>
    <row r="6" ht="15.75" customHeight="1">
      <c r="A6" s="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</row>
    <row r="7" ht="15.75" customHeight="1">
      <c r="A7" s="8" t="s">
        <v>7</v>
      </c>
    </row>
    <row r="8" ht="31.5" customHeigh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</row>
    <row r="9" ht="15.75" customHeight="1">
      <c r="A9" s="10"/>
      <c r="B9" s="10"/>
      <c r="C9" s="10"/>
      <c r="D9" s="10" t="s">
        <v>19</v>
      </c>
      <c r="E9" s="10" t="s">
        <v>19</v>
      </c>
      <c r="F9" s="10" t="s">
        <v>20</v>
      </c>
      <c r="G9" s="10" t="s">
        <v>20</v>
      </c>
      <c r="H9" s="10" t="s">
        <v>21</v>
      </c>
      <c r="I9" s="10" t="s">
        <v>21</v>
      </c>
      <c r="J9" s="10" t="s">
        <v>21</v>
      </c>
      <c r="K9" s="10"/>
      <c r="L9" s="10"/>
      <c r="M9" s="10"/>
    </row>
    <row r="10" ht="18.0" customHeight="1">
      <c r="A10" s="11">
        <v>1.0</v>
      </c>
      <c r="B10" s="12"/>
      <c r="C10" s="13" t="s">
        <v>28</v>
      </c>
      <c r="D10" s="14">
        <v>0.0</v>
      </c>
      <c r="E10" s="14">
        <v>0.0</v>
      </c>
      <c r="F10" s="14">
        <v>0.0</v>
      </c>
      <c r="G10" s="14">
        <v>0.0</v>
      </c>
      <c r="H10" s="14">
        <f>D10*45+F10*12</f>
        <v>0</v>
      </c>
      <c r="I10" s="14">
        <v>0.0</v>
      </c>
      <c r="J10" s="14">
        <f>H10-I10</f>
        <v>0</v>
      </c>
      <c r="K10" s="16">
        <v>21615.0</v>
      </c>
      <c r="L10" s="16">
        <f>K10*J10</f>
        <v>0</v>
      </c>
      <c r="M10" s="17"/>
    </row>
    <row r="11" ht="18.0" customHeight="1">
      <c r="A11" s="20" t="s">
        <v>23</v>
      </c>
      <c r="B11" s="21"/>
      <c r="C11" s="21"/>
      <c r="D11" s="21">
        <f t="shared" ref="D11:J11" si="1">SUM(D10)</f>
        <v>0</v>
      </c>
      <c r="E11" s="21">
        <f t="shared" si="1"/>
        <v>0</v>
      </c>
      <c r="F11" s="21">
        <f t="shared" si="1"/>
        <v>0</v>
      </c>
      <c r="G11" s="21">
        <f t="shared" si="1"/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/>
      <c r="L11" s="23">
        <f>SUM(L10)</f>
        <v>0</v>
      </c>
      <c r="M11" s="21"/>
    </row>
    <row r="12" ht="18.0" customHeight="1">
      <c r="A12" s="24" t="s">
        <v>24</v>
      </c>
      <c r="L12" s="25">
        <f>L11*0.08</f>
        <v>0</v>
      </c>
    </row>
    <row r="13" ht="18.0" customHeight="1">
      <c r="A13" s="24" t="s">
        <v>25</v>
      </c>
      <c r="L13" s="25">
        <f>L11+L12</f>
        <v>0</v>
      </c>
    </row>
    <row r="14" ht="18.0" customHeight="1">
      <c r="A14" s="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L14" s="25">
        <f>L13</f>
        <v>0</v>
      </c>
    </row>
    <row r="15" ht="14.25" customHeight="1"/>
    <row r="16" ht="18.0" customHeight="1">
      <c r="J16" s="26" t="str">
        <f>"TP Hồ Chí Minh, Ngày "&amp;TEXT(DAY(DATE($P$2,$P$1+1,0)),"00")&amp;" tháng "&amp;TEXT($P$1,"00")&amp;" năm "&amp;$P$2</f>
        <v>TP Hồ Chí Minh, Ngày 31 tháng 05 năm 2026</v>
      </c>
    </row>
    <row r="17" ht="18.0" customHeight="1">
      <c r="A17" s="27" t="s">
        <v>26</v>
      </c>
      <c r="J17" s="27" t="s">
        <v>27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7:N7"/>
    <mergeCell ref="A12:K12"/>
    <mergeCell ref="A13:K13"/>
    <mergeCell ref="A14:K14"/>
    <mergeCell ref="J16:M16"/>
    <mergeCell ref="A17:D17"/>
    <mergeCell ref="J17:M17"/>
    <mergeCell ref="A1:N1"/>
    <mergeCell ref="A2:N2"/>
    <mergeCell ref="A3:N3"/>
    <mergeCell ref="O3:P3"/>
    <mergeCell ref="A4:N4"/>
    <mergeCell ref="A5:N5"/>
    <mergeCell ref="A6:N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3" width="20.0"/>
    <col customWidth="1" min="4" max="7" width="8.0"/>
    <col customWidth="1" min="8" max="9" width="10.0"/>
    <col customWidth="1" min="10" max="10" width="13.0"/>
    <col customWidth="1" min="11" max="12" width="16.0"/>
    <col customWidth="1" min="13" max="13" width="14.0"/>
    <col customWidth="1" min="14" max="26" width="8.71"/>
  </cols>
  <sheetData>
    <row r="1" ht="30.0" customHeight="1">
      <c r="A1" s="1" t="s">
        <v>0</v>
      </c>
      <c r="O1" s="2" t="s">
        <v>1</v>
      </c>
      <c r="P1" s="3">
        <v>5.0</v>
      </c>
    </row>
    <row r="2" ht="21.75" customHeight="1">
      <c r="A2" s="4" t="s">
        <v>2</v>
      </c>
      <c r="O2" s="2" t="s">
        <v>3</v>
      </c>
      <c r="P2" s="3">
        <v>2026.0</v>
      </c>
    </row>
    <row r="3" ht="18.0" customHeight="1">
      <c r="A3" s="5" t="str">
        <f>"(THÁNG "&amp;TEXT($P$1,"00")&amp;"/"&amp;$P$2&amp;")"</f>
        <v>(THÁNG 05/2026)</v>
      </c>
      <c r="O3" s="6" t="s">
        <v>4</v>
      </c>
    </row>
    <row r="4" ht="42.0" customHeight="1">
      <c r="A4" s="7" t="s">
        <v>5</v>
      </c>
    </row>
    <row r="5" ht="15.75" customHeight="1">
      <c r="A5" s="8" t="s">
        <v>6</v>
      </c>
    </row>
    <row r="6" ht="15.75" customHeight="1">
      <c r="A6" s="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</row>
    <row r="7" ht="15.75" customHeight="1">
      <c r="A7" s="8" t="s">
        <v>7</v>
      </c>
    </row>
    <row r="8" ht="31.5" customHeigh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</row>
    <row r="9" ht="15.75" customHeight="1">
      <c r="A9" s="10"/>
      <c r="B9" s="10"/>
      <c r="C9" s="10"/>
      <c r="D9" s="10" t="s">
        <v>19</v>
      </c>
      <c r="E9" s="10" t="s">
        <v>19</v>
      </c>
      <c r="F9" s="10" t="s">
        <v>20</v>
      </c>
      <c r="G9" s="10" t="s">
        <v>20</v>
      </c>
      <c r="H9" s="10" t="s">
        <v>21</v>
      </c>
      <c r="I9" s="10" t="s">
        <v>21</v>
      </c>
      <c r="J9" s="10" t="s">
        <v>21</v>
      </c>
      <c r="K9" s="10"/>
      <c r="L9" s="10"/>
      <c r="M9" s="10"/>
    </row>
    <row r="10" ht="18.0" customHeight="1">
      <c r="A10" s="11">
        <v>1.0</v>
      </c>
      <c r="B10" s="12">
        <v>46143.0</v>
      </c>
      <c r="C10" s="13" t="s">
        <v>29</v>
      </c>
      <c r="D10" s="14">
        <v>10.0</v>
      </c>
      <c r="E10" s="14">
        <v>10.0</v>
      </c>
      <c r="F10" s="14">
        <v>0.0</v>
      </c>
      <c r="G10" s="14">
        <v>0.0</v>
      </c>
      <c r="H10" s="14">
        <f t="shared" ref="H10:H12" si="1">D10*45+F10*12</f>
        <v>450</v>
      </c>
      <c r="I10" s="15">
        <v>37.3</v>
      </c>
      <c r="J10" s="15">
        <f t="shared" ref="J10:J12" si="2">H10-I10</f>
        <v>412.7</v>
      </c>
      <c r="K10" s="16"/>
      <c r="L10" s="16">
        <f t="shared" ref="L10:L12" si="3">K10*J10</f>
        <v>0</v>
      </c>
      <c r="M10" s="17"/>
    </row>
    <row r="11" ht="18.0" customHeight="1">
      <c r="A11" s="11">
        <v>2.0</v>
      </c>
      <c r="B11" s="12">
        <v>46151.0</v>
      </c>
      <c r="C11" s="13" t="s">
        <v>29</v>
      </c>
      <c r="D11" s="14">
        <v>10.0</v>
      </c>
      <c r="E11" s="14">
        <v>10.0</v>
      </c>
      <c r="F11" s="14">
        <v>0.0</v>
      </c>
      <c r="G11" s="14">
        <v>0.0</v>
      </c>
      <c r="H11" s="14">
        <f t="shared" si="1"/>
        <v>450</v>
      </c>
      <c r="I11" s="15">
        <v>49.4</v>
      </c>
      <c r="J11" s="15">
        <f t="shared" si="2"/>
        <v>400.6</v>
      </c>
      <c r="K11" s="16"/>
      <c r="L11" s="16">
        <f t="shared" si="3"/>
        <v>0</v>
      </c>
      <c r="M11" s="17"/>
    </row>
    <row r="12" ht="18.0" customHeight="1">
      <c r="A12" s="11">
        <v>3.0</v>
      </c>
      <c r="B12" s="12">
        <v>46158.0</v>
      </c>
      <c r="C12" s="13" t="s">
        <v>29</v>
      </c>
      <c r="D12" s="14">
        <v>10.0</v>
      </c>
      <c r="E12" s="14">
        <v>10.0</v>
      </c>
      <c r="F12" s="14">
        <v>0.0</v>
      </c>
      <c r="G12" s="14">
        <v>0.0</v>
      </c>
      <c r="H12" s="14">
        <f t="shared" si="1"/>
        <v>450</v>
      </c>
      <c r="I12" s="15">
        <v>39.6</v>
      </c>
      <c r="J12" s="15">
        <f t="shared" si="2"/>
        <v>410.4</v>
      </c>
      <c r="K12" s="16"/>
      <c r="L12" s="16">
        <f t="shared" si="3"/>
        <v>0</v>
      </c>
      <c r="M12" s="17"/>
    </row>
    <row r="13" ht="18.0" customHeight="1">
      <c r="A13" s="20" t="s">
        <v>23</v>
      </c>
      <c r="B13" s="21"/>
      <c r="C13" s="21"/>
      <c r="D13" s="21">
        <f t="shared" ref="D13:J13" si="4">SUM(D10:D12)</f>
        <v>30</v>
      </c>
      <c r="E13" s="21">
        <f t="shared" si="4"/>
        <v>30</v>
      </c>
      <c r="F13" s="21">
        <f t="shared" si="4"/>
        <v>0</v>
      </c>
      <c r="G13" s="21">
        <f t="shared" si="4"/>
        <v>0</v>
      </c>
      <c r="H13" s="21">
        <f t="shared" si="4"/>
        <v>1350</v>
      </c>
      <c r="I13" s="22">
        <f t="shared" si="4"/>
        <v>126.3</v>
      </c>
      <c r="J13" s="22">
        <f t="shared" si="4"/>
        <v>1223.7</v>
      </c>
      <c r="K13" s="21"/>
      <c r="L13" s="23">
        <f>SUM(L10:L12)</f>
        <v>0</v>
      </c>
      <c r="M13" s="21"/>
    </row>
    <row r="14" ht="18.0" customHeight="1">
      <c r="A14" s="24" t="s">
        <v>24</v>
      </c>
      <c r="L14" s="25">
        <f>L13*0.08</f>
        <v>0</v>
      </c>
    </row>
    <row r="15" ht="18.0" customHeight="1">
      <c r="A15" s="24" t="s">
        <v>25</v>
      </c>
      <c r="L15" s="25">
        <f>L13+L14</f>
        <v>0</v>
      </c>
    </row>
    <row r="16" ht="18.0" customHeight="1">
      <c r="A16" s="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L16" s="25">
        <f>L15</f>
        <v>0</v>
      </c>
    </row>
    <row r="17" ht="14.25" customHeight="1"/>
    <row r="18" ht="18.0" customHeight="1">
      <c r="J18" s="26" t="str">
        <f>"TP Hồ Chí Minh, Ngày "&amp;TEXT(DAY(DATE($P$2,$P$1+1,0)),"00")&amp;" tháng "&amp;TEXT($P$1,"00")&amp;" năm "&amp;$P$2</f>
        <v>TP Hồ Chí Minh, Ngày 31 tháng 05 năm 2026</v>
      </c>
    </row>
    <row r="19" ht="18.0" customHeight="1">
      <c r="A19" s="27" t="s">
        <v>26</v>
      </c>
      <c r="J19" s="27" t="s">
        <v>27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7:N7"/>
    <mergeCell ref="A14:K14"/>
    <mergeCell ref="A15:K15"/>
    <mergeCell ref="A16:K16"/>
    <mergeCell ref="J18:M18"/>
    <mergeCell ref="A19:D19"/>
    <mergeCell ref="J19:M19"/>
    <mergeCell ref="A1:N1"/>
    <mergeCell ref="A2:N2"/>
    <mergeCell ref="A3:N3"/>
    <mergeCell ref="O3:P3"/>
    <mergeCell ref="A4:N4"/>
    <mergeCell ref="A5:N5"/>
    <mergeCell ref="A6:N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3" width="20.0"/>
    <col customWidth="1" min="4" max="7" width="8.0"/>
    <col customWidth="1" min="8" max="9" width="10.0"/>
    <col customWidth="1" min="10" max="10" width="13.0"/>
    <col customWidth="1" min="11" max="12" width="16.0"/>
    <col customWidth="1" min="13" max="13" width="14.0"/>
    <col customWidth="1" min="14" max="26" width="8.71"/>
  </cols>
  <sheetData>
    <row r="1" ht="30.0" customHeight="1">
      <c r="A1" s="1" t="s">
        <v>0</v>
      </c>
      <c r="O1" s="2" t="s">
        <v>1</v>
      </c>
      <c r="P1" s="3">
        <v>5.0</v>
      </c>
    </row>
    <row r="2" ht="21.75" customHeight="1">
      <c r="A2" s="4" t="s">
        <v>2</v>
      </c>
      <c r="O2" s="2" t="s">
        <v>3</v>
      </c>
      <c r="P2" s="3">
        <v>2026.0</v>
      </c>
    </row>
    <row r="3" ht="18.0" customHeight="1">
      <c r="A3" s="5" t="str">
        <f>"(THÁNG "&amp;TEXT($P$1,"00")&amp;"/"&amp;$P$2&amp;")"</f>
        <v>(THÁNG 05/2026)</v>
      </c>
      <c r="O3" s="6" t="s">
        <v>4</v>
      </c>
    </row>
    <row r="4" ht="42.0" customHeight="1">
      <c r="A4" s="7" t="s">
        <v>5</v>
      </c>
    </row>
    <row r="5" ht="15.75" customHeight="1">
      <c r="A5" s="8" t="s">
        <v>6</v>
      </c>
    </row>
    <row r="6" ht="15.75" customHeight="1">
      <c r="A6" s="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</row>
    <row r="7" ht="15.75" customHeight="1">
      <c r="A7" s="8" t="s">
        <v>7</v>
      </c>
    </row>
    <row r="8" ht="31.5" customHeigh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</row>
    <row r="9" ht="15.75" customHeight="1">
      <c r="A9" s="10"/>
      <c r="B9" s="10"/>
      <c r="C9" s="10"/>
      <c r="D9" s="10" t="s">
        <v>19</v>
      </c>
      <c r="E9" s="10" t="s">
        <v>19</v>
      </c>
      <c r="F9" s="10" t="s">
        <v>20</v>
      </c>
      <c r="G9" s="10" t="s">
        <v>20</v>
      </c>
      <c r="H9" s="10" t="s">
        <v>21</v>
      </c>
      <c r="I9" s="10" t="s">
        <v>21</v>
      </c>
      <c r="J9" s="10" t="s">
        <v>21</v>
      </c>
      <c r="K9" s="10"/>
      <c r="L9" s="10"/>
      <c r="M9" s="10"/>
    </row>
    <row r="10" ht="18.0" customHeight="1">
      <c r="A10" s="11">
        <v>1.0</v>
      </c>
      <c r="B10" s="12">
        <v>46148.0</v>
      </c>
      <c r="C10" s="13" t="s">
        <v>30</v>
      </c>
      <c r="D10" s="14">
        <v>4.0</v>
      </c>
      <c r="E10" s="14">
        <v>4.0</v>
      </c>
      <c r="F10" s="14">
        <v>0.0</v>
      </c>
      <c r="G10" s="14">
        <v>0.0</v>
      </c>
      <c r="H10" s="14">
        <f t="shared" ref="H10:H12" si="1">D10*45+F10*12</f>
        <v>180</v>
      </c>
      <c r="I10" s="15">
        <v>33.5</v>
      </c>
      <c r="J10" s="15">
        <f t="shared" ref="J10:J12" si="2">H10-I10</f>
        <v>146.5</v>
      </c>
      <c r="K10" s="16"/>
      <c r="L10" s="16">
        <f t="shared" ref="L10:L12" si="3">K10*J10</f>
        <v>0</v>
      </c>
      <c r="M10" s="17"/>
    </row>
    <row r="11" ht="18.0" customHeight="1">
      <c r="A11" s="11">
        <v>2.0</v>
      </c>
      <c r="B11" s="12">
        <v>46155.0</v>
      </c>
      <c r="C11" s="13" t="s">
        <v>30</v>
      </c>
      <c r="D11" s="14">
        <v>4.0</v>
      </c>
      <c r="E11" s="14">
        <v>4.0</v>
      </c>
      <c r="F11" s="14">
        <v>0.0</v>
      </c>
      <c r="G11" s="14">
        <v>0.0</v>
      </c>
      <c r="H11" s="14">
        <f t="shared" si="1"/>
        <v>180</v>
      </c>
      <c r="I11" s="15">
        <v>30.8</v>
      </c>
      <c r="J11" s="15">
        <f t="shared" si="2"/>
        <v>149.2</v>
      </c>
      <c r="K11" s="16"/>
      <c r="L11" s="16">
        <f t="shared" si="3"/>
        <v>0</v>
      </c>
      <c r="M11" s="17"/>
    </row>
    <row r="12" ht="18.0" customHeight="1">
      <c r="A12" s="11">
        <v>3.0</v>
      </c>
      <c r="B12" s="12">
        <v>46163.0</v>
      </c>
      <c r="C12" s="13" t="s">
        <v>30</v>
      </c>
      <c r="D12" s="14">
        <v>4.0</v>
      </c>
      <c r="E12" s="14">
        <v>4.0</v>
      </c>
      <c r="F12" s="14">
        <v>0.0</v>
      </c>
      <c r="G12" s="14">
        <v>0.0</v>
      </c>
      <c r="H12" s="14">
        <f t="shared" si="1"/>
        <v>180</v>
      </c>
      <c r="I12" s="15">
        <v>23.8</v>
      </c>
      <c r="J12" s="15">
        <f t="shared" si="2"/>
        <v>156.2</v>
      </c>
      <c r="K12" s="16"/>
      <c r="L12" s="16">
        <f t="shared" si="3"/>
        <v>0</v>
      </c>
      <c r="M12" s="17"/>
    </row>
    <row r="13" ht="18.0" customHeight="1">
      <c r="A13" s="20" t="s">
        <v>23</v>
      </c>
      <c r="B13" s="21"/>
      <c r="C13" s="21"/>
      <c r="D13" s="21">
        <f t="shared" ref="D13:J13" si="4">SUM(D10:D12)</f>
        <v>12</v>
      </c>
      <c r="E13" s="21">
        <f t="shared" si="4"/>
        <v>12</v>
      </c>
      <c r="F13" s="21">
        <f t="shared" si="4"/>
        <v>0</v>
      </c>
      <c r="G13" s="21">
        <f t="shared" si="4"/>
        <v>0</v>
      </c>
      <c r="H13" s="21">
        <f t="shared" si="4"/>
        <v>540</v>
      </c>
      <c r="I13" s="22">
        <f t="shared" si="4"/>
        <v>88.1</v>
      </c>
      <c r="J13" s="22">
        <f t="shared" si="4"/>
        <v>451.9</v>
      </c>
      <c r="K13" s="21"/>
      <c r="L13" s="23">
        <f>SUM(L10:L12)</f>
        <v>0</v>
      </c>
      <c r="M13" s="21"/>
    </row>
    <row r="14" ht="18.0" customHeight="1">
      <c r="A14" s="24" t="s">
        <v>24</v>
      </c>
      <c r="L14" s="25">
        <f>L13*0.08</f>
        <v>0</v>
      </c>
    </row>
    <row r="15" ht="18.0" customHeight="1">
      <c r="A15" s="24" t="s">
        <v>25</v>
      </c>
      <c r="L15" s="25">
        <f>L13+L14</f>
        <v>0</v>
      </c>
    </row>
    <row r="16" ht="18.0" customHeight="1">
      <c r="A16" s="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L16" s="25">
        <f>L15</f>
        <v>0</v>
      </c>
    </row>
    <row r="17" ht="14.25" customHeight="1"/>
    <row r="18" ht="18.0" customHeight="1">
      <c r="J18" s="26" t="str">
        <f>"TP Hồ Chí Minh, Ngày "&amp;TEXT(DAY(DATE($P$2,$P$1+1,0)),"00")&amp;" tháng "&amp;TEXT($P$1,"00")&amp;" năm "&amp;$P$2</f>
        <v>TP Hồ Chí Minh, Ngày 31 tháng 05 năm 2026</v>
      </c>
    </row>
    <row r="19" ht="18.0" customHeight="1">
      <c r="A19" s="27" t="s">
        <v>26</v>
      </c>
      <c r="J19" s="27" t="s">
        <v>27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7:N7"/>
    <mergeCell ref="A14:K14"/>
    <mergeCell ref="A15:K15"/>
    <mergeCell ref="A16:K16"/>
    <mergeCell ref="J18:M18"/>
    <mergeCell ref="A19:D19"/>
    <mergeCell ref="J19:M19"/>
    <mergeCell ref="A1:N1"/>
    <mergeCell ref="A2:N2"/>
    <mergeCell ref="A3:N3"/>
    <mergeCell ref="O3:P3"/>
    <mergeCell ref="A4:N4"/>
    <mergeCell ref="A5:N5"/>
    <mergeCell ref="A6:N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3" width="20.0"/>
    <col customWidth="1" min="4" max="7" width="8.0"/>
    <col customWidth="1" min="8" max="9" width="10.0"/>
    <col customWidth="1" min="10" max="10" width="13.0"/>
    <col customWidth="1" min="11" max="12" width="16.0"/>
    <col customWidth="1" min="13" max="13" width="14.0"/>
    <col customWidth="1" min="14" max="26" width="8.71"/>
  </cols>
  <sheetData>
    <row r="1" ht="30.0" customHeight="1">
      <c r="A1" s="1" t="s">
        <v>0</v>
      </c>
      <c r="O1" s="2" t="s">
        <v>1</v>
      </c>
      <c r="P1" s="3">
        <v>5.0</v>
      </c>
    </row>
    <row r="2" ht="21.75" customHeight="1">
      <c r="A2" s="4" t="s">
        <v>2</v>
      </c>
      <c r="O2" s="2" t="s">
        <v>3</v>
      </c>
      <c r="P2" s="3">
        <v>2026.0</v>
      </c>
    </row>
    <row r="3" ht="18.0" customHeight="1">
      <c r="A3" s="5" t="str">
        <f>"(THÁNG "&amp;TEXT($P$1,"00")&amp;"/"&amp;$P$2&amp;")"</f>
        <v>(THÁNG 05/2026)</v>
      </c>
      <c r="O3" s="6" t="s">
        <v>4</v>
      </c>
    </row>
    <row r="4" ht="42.0" customHeight="1">
      <c r="A4" s="7" t="s">
        <v>5</v>
      </c>
    </row>
    <row r="5" ht="15.75" customHeight="1">
      <c r="A5" s="8" t="s">
        <v>6</v>
      </c>
    </row>
    <row r="6" ht="15.75" customHeight="1">
      <c r="A6" s="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</row>
    <row r="7" ht="15.75" customHeight="1">
      <c r="A7" s="8" t="s">
        <v>7</v>
      </c>
    </row>
    <row r="8" ht="31.5" customHeigh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</row>
    <row r="9" ht="15.75" customHeight="1">
      <c r="A9" s="10"/>
      <c r="B9" s="10"/>
      <c r="C9" s="10"/>
      <c r="D9" s="10" t="s">
        <v>19</v>
      </c>
      <c r="E9" s="10" t="s">
        <v>19</v>
      </c>
      <c r="F9" s="10" t="s">
        <v>20</v>
      </c>
      <c r="G9" s="10" t="s">
        <v>20</v>
      </c>
      <c r="H9" s="10" t="s">
        <v>21</v>
      </c>
      <c r="I9" s="10" t="s">
        <v>21</v>
      </c>
      <c r="J9" s="10" t="s">
        <v>21</v>
      </c>
      <c r="K9" s="10"/>
      <c r="L9" s="10"/>
      <c r="M9" s="10"/>
    </row>
    <row r="10" ht="18.0" customHeight="1">
      <c r="A10" s="11">
        <v>1.0</v>
      </c>
      <c r="B10" s="12"/>
      <c r="C10" s="13" t="s">
        <v>31</v>
      </c>
      <c r="D10" s="14">
        <v>0.0</v>
      </c>
      <c r="E10" s="14">
        <v>0.0</v>
      </c>
      <c r="F10" s="14">
        <v>0.0</v>
      </c>
      <c r="G10" s="14">
        <v>0.0</v>
      </c>
      <c r="H10" s="14">
        <f>D10*45+F10*12</f>
        <v>0</v>
      </c>
      <c r="I10" s="14">
        <v>0.0</v>
      </c>
      <c r="J10" s="14">
        <f>H10-I10</f>
        <v>0</v>
      </c>
      <c r="K10" s="16">
        <v>36830.0</v>
      </c>
      <c r="L10" s="16">
        <f>K10*J10</f>
        <v>0</v>
      </c>
      <c r="M10" s="17"/>
    </row>
    <row r="11" ht="18.0" customHeight="1">
      <c r="A11" s="20" t="s">
        <v>23</v>
      </c>
      <c r="B11" s="21"/>
      <c r="C11" s="21"/>
      <c r="D11" s="21">
        <f t="shared" ref="D11:J11" si="1">SUM(D10)</f>
        <v>0</v>
      </c>
      <c r="E11" s="21">
        <f t="shared" si="1"/>
        <v>0</v>
      </c>
      <c r="F11" s="21">
        <f t="shared" si="1"/>
        <v>0</v>
      </c>
      <c r="G11" s="21">
        <f t="shared" si="1"/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/>
      <c r="L11" s="23">
        <f>SUM(L10)</f>
        <v>0</v>
      </c>
      <c r="M11" s="21"/>
    </row>
    <row r="12" ht="18.0" customHeight="1">
      <c r="A12" s="24" t="s">
        <v>24</v>
      </c>
      <c r="L12" s="25">
        <f>L11*0.08</f>
        <v>0</v>
      </c>
    </row>
    <row r="13" ht="18.0" customHeight="1">
      <c r="A13" s="24" t="s">
        <v>25</v>
      </c>
      <c r="L13" s="25">
        <f>L11+L12</f>
        <v>0</v>
      </c>
    </row>
    <row r="14" ht="18.0" customHeight="1">
      <c r="A14" s="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L14" s="25">
        <f>L13</f>
        <v>0</v>
      </c>
    </row>
    <row r="15" ht="14.25" customHeight="1"/>
    <row r="16" ht="18.0" customHeight="1">
      <c r="J16" s="26" t="str">
        <f>"TP Hồ Chí Minh, Ngày "&amp;TEXT(DAY(DATE($P$2,$P$1+1,0)),"00")&amp;" tháng "&amp;TEXT($P$1,"00")&amp;" năm "&amp;$P$2</f>
        <v>TP Hồ Chí Minh, Ngày 31 tháng 05 năm 2026</v>
      </c>
    </row>
    <row r="17" ht="18.0" customHeight="1">
      <c r="A17" s="27" t="s">
        <v>26</v>
      </c>
      <c r="J17" s="27" t="s">
        <v>27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7:N7"/>
    <mergeCell ref="A12:K12"/>
    <mergeCell ref="A13:K13"/>
    <mergeCell ref="A14:K14"/>
    <mergeCell ref="J16:M16"/>
    <mergeCell ref="A17:D17"/>
    <mergeCell ref="J17:M17"/>
    <mergeCell ref="A1:N1"/>
    <mergeCell ref="A2:N2"/>
    <mergeCell ref="A3:N3"/>
    <mergeCell ref="O3:P3"/>
    <mergeCell ref="A4:N4"/>
    <mergeCell ref="A5:N5"/>
    <mergeCell ref="A6:N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3" width="20.0"/>
    <col customWidth="1" min="4" max="7" width="8.0"/>
    <col customWidth="1" min="8" max="9" width="10.0"/>
    <col customWidth="1" min="10" max="10" width="13.0"/>
    <col customWidth="1" min="11" max="12" width="16.0"/>
    <col customWidth="1" min="13" max="13" width="14.0"/>
    <col customWidth="1" min="14" max="26" width="8.71"/>
  </cols>
  <sheetData>
    <row r="1" ht="30.0" customHeight="1">
      <c r="A1" s="1" t="s">
        <v>0</v>
      </c>
      <c r="O1" s="2" t="s">
        <v>1</v>
      </c>
      <c r="P1" s="3">
        <v>5.0</v>
      </c>
    </row>
    <row r="2" ht="21.75" customHeight="1">
      <c r="A2" s="4" t="s">
        <v>2</v>
      </c>
      <c r="O2" s="2" t="s">
        <v>3</v>
      </c>
      <c r="P2" s="3">
        <v>2026.0</v>
      </c>
    </row>
    <row r="3" ht="18.0" customHeight="1">
      <c r="A3" s="5" t="str">
        <f>"(THÁNG "&amp;TEXT($P$1,"00")&amp;"/"&amp;$P$2&amp;")"</f>
        <v>(THÁNG 05/2026)</v>
      </c>
      <c r="O3" s="6" t="s">
        <v>4</v>
      </c>
    </row>
    <row r="4" ht="42.0" customHeight="1">
      <c r="A4" s="7" t="s">
        <v>5</v>
      </c>
    </row>
    <row r="5" ht="15.75" customHeight="1">
      <c r="A5" s="8" t="s">
        <v>6</v>
      </c>
    </row>
    <row r="6" ht="15.75" customHeight="1">
      <c r="A6" s="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</row>
    <row r="7" ht="15.75" customHeight="1">
      <c r="A7" s="8" t="s">
        <v>7</v>
      </c>
    </row>
    <row r="8" ht="31.5" customHeigh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</row>
    <row r="9" ht="15.75" customHeight="1">
      <c r="A9" s="10"/>
      <c r="B9" s="10"/>
      <c r="C9" s="10"/>
      <c r="D9" s="10" t="s">
        <v>19</v>
      </c>
      <c r="E9" s="10" t="s">
        <v>19</v>
      </c>
      <c r="F9" s="10" t="s">
        <v>20</v>
      </c>
      <c r="G9" s="10" t="s">
        <v>20</v>
      </c>
      <c r="H9" s="10" t="s">
        <v>21</v>
      </c>
      <c r="I9" s="10" t="s">
        <v>21</v>
      </c>
      <c r="J9" s="10" t="s">
        <v>21</v>
      </c>
      <c r="K9" s="10"/>
      <c r="L9" s="10"/>
      <c r="M9" s="10"/>
    </row>
    <row r="10" ht="18.0" customHeight="1">
      <c r="A10" s="11">
        <v>1.0</v>
      </c>
      <c r="B10" s="12">
        <v>46149.0</v>
      </c>
      <c r="C10" s="13" t="s">
        <v>32</v>
      </c>
      <c r="D10" s="15">
        <v>3.0</v>
      </c>
      <c r="E10" s="15">
        <v>3.0</v>
      </c>
      <c r="F10" s="15"/>
      <c r="G10" s="15"/>
      <c r="H10" s="14">
        <f t="shared" ref="H10:H11" si="1">D10*45+F10*12</f>
        <v>135</v>
      </c>
      <c r="I10" s="15">
        <v>5.4</v>
      </c>
      <c r="J10" s="15">
        <f t="shared" ref="J10:J11" si="2">H10-I10</f>
        <v>129.6</v>
      </c>
      <c r="K10" s="16"/>
      <c r="L10" s="16">
        <f t="shared" ref="L10:L11" si="3">K10*J10</f>
        <v>0</v>
      </c>
      <c r="M10" s="17"/>
    </row>
    <row r="11" ht="18.0" customHeight="1">
      <c r="A11" s="11">
        <v>2.0</v>
      </c>
      <c r="B11" s="12">
        <v>46163.0</v>
      </c>
      <c r="C11" s="13" t="s">
        <v>32</v>
      </c>
      <c r="D11" s="15">
        <v>4.0</v>
      </c>
      <c r="E11" s="15">
        <v>4.0</v>
      </c>
      <c r="F11" s="15"/>
      <c r="G11" s="15"/>
      <c r="H11" s="14">
        <f t="shared" si="1"/>
        <v>180</v>
      </c>
      <c r="I11" s="15">
        <v>0.0</v>
      </c>
      <c r="J11" s="15">
        <f t="shared" si="2"/>
        <v>180</v>
      </c>
      <c r="K11" s="16"/>
      <c r="L11" s="16">
        <f t="shared" si="3"/>
        <v>0</v>
      </c>
      <c r="M11" s="17"/>
    </row>
    <row r="12" ht="18.0" customHeight="1">
      <c r="A12" s="20" t="s">
        <v>23</v>
      </c>
      <c r="B12" s="21"/>
      <c r="C12" s="21"/>
      <c r="D12" s="22">
        <f t="shared" ref="D12:J12" si="4">SUM(D10)</f>
        <v>3</v>
      </c>
      <c r="E12" s="22">
        <f t="shared" si="4"/>
        <v>3</v>
      </c>
      <c r="F12" s="22">
        <f t="shared" si="4"/>
        <v>0</v>
      </c>
      <c r="G12" s="22">
        <f t="shared" si="4"/>
        <v>0</v>
      </c>
      <c r="H12" s="21">
        <f t="shared" si="4"/>
        <v>135</v>
      </c>
      <c r="I12" s="22">
        <f t="shared" si="4"/>
        <v>5.4</v>
      </c>
      <c r="J12" s="22">
        <f t="shared" si="4"/>
        <v>129.6</v>
      </c>
      <c r="K12" s="21"/>
      <c r="L12" s="23">
        <f>SUM(L10)</f>
        <v>0</v>
      </c>
      <c r="M12" s="21"/>
    </row>
    <row r="13" ht="18.0" customHeight="1">
      <c r="A13" s="24" t="s">
        <v>24</v>
      </c>
      <c r="L13" s="25">
        <f>L12*0.08</f>
        <v>0</v>
      </c>
    </row>
    <row r="14" ht="18.0" customHeight="1">
      <c r="A14" s="24" t="s">
        <v>25</v>
      </c>
      <c r="L14" s="25">
        <f>L12+L13</f>
        <v>0</v>
      </c>
    </row>
    <row r="15" ht="18.0" customHeight="1">
      <c r="A15" s="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L15" s="25">
        <f>L14</f>
        <v>0</v>
      </c>
    </row>
    <row r="16" ht="14.25" customHeight="1"/>
    <row r="17" ht="18.0" customHeight="1">
      <c r="J17" s="26" t="str">
        <f>"TP Hồ Chí Minh, Ngày "&amp;TEXT(DAY(DATE($P$2,$P$1+1,0)),"00")&amp;" tháng "&amp;TEXT($P$1,"00")&amp;" năm "&amp;$P$2</f>
        <v>TP Hồ Chí Minh, Ngày 31 tháng 05 năm 2026</v>
      </c>
    </row>
    <row r="18" ht="18.0" customHeight="1">
      <c r="A18" s="27" t="s">
        <v>26</v>
      </c>
      <c r="J18" s="27" t="s">
        <v>27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7:N7"/>
    <mergeCell ref="A13:K13"/>
    <mergeCell ref="A14:K14"/>
    <mergeCell ref="A15:K15"/>
    <mergeCell ref="J17:M17"/>
    <mergeCell ref="A18:D18"/>
    <mergeCell ref="J18:M18"/>
    <mergeCell ref="A1:N1"/>
    <mergeCell ref="A2:N2"/>
    <mergeCell ref="A3:N3"/>
    <mergeCell ref="O3:P3"/>
    <mergeCell ref="A4:N4"/>
    <mergeCell ref="A5:N5"/>
    <mergeCell ref="A6:N6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3" width="20.0"/>
    <col customWidth="1" min="4" max="7" width="8.0"/>
    <col customWidth="1" min="8" max="9" width="10.0"/>
    <col customWidth="1" min="10" max="10" width="13.0"/>
    <col customWidth="1" min="11" max="12" width="16.0"/>
    <col customWidth="1" min="13" max="13" width="14.0"/>
    <col customWidth="1" min="14" max="26" width="8.71"/>
  </cols>
  <sheetData>
    <row r="1" ht="30.0" customHeight="1">
      <c r="A1" s="1" t="s">
        <v>0</v>
      </c>
      <c r="O1" s="2" t="s">
        <v>1</v>
      </c>
      <c r="P1" s="3">
        <v>5.0</v>
      </c>
    </row>
    <row r="2" ht="21.75" customHeight="1">
      <c r="A2" s="4" t="s">
        <v>2</v>
      </c>
      <c r="O2" s="2" t="s">
        <v>3</v>
      </c>
      <c r="P2" s="3">
        <v>2026.0</v>
      </c>
    </row>
    <row r="3" ht="18.0" customHeight="1">
      <c r="A3" s="5" t="str">
        <f>"(THÁNG "&amp;TEXT($P$1,"00")&amp;"/"&amp;$P$2&amp;")"</f>
        <v>(THÁNG 05/2026)</v>
      </c>
      <c r="O3" s="6" t="s">
        <v>4</v>
      </c>
    </row>
    <row r="4" ht="42.0" customHeight="1">
      <c r="A4" s="7" t="s">
        <v>5</v>
      </c>
    </row>
    <row r="5" ht="15.75" customHeight="1">
      <c r="A5" s="8" t="s">
        <v>6</v>
      </c>
    </row>
    <row r="6" ht="15.75" customHeight="1">
      <c r="A6" s="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</row>
    <row r="7" ht="15.75" customHeight="1">
      <c r="A7" s="8" t="s">
        <v>7</v>
      </c>
    </row>
    <row r="8" ht="31.5" customHeigh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</row>
    <row r="9" ht="15.75" customHeight="1">
      <c r="A9" s="10"/>
      <c r="B9" s="10"/>
      <c r="C9" s="10"/>
      <c r="D9" s="10" t="s">
        <v>19</v>
      </c>
      <c r="E9" s="10" t="s">
        <v>19</v>
      </c>
      <c r="F9" s="10" t="s">
        <v>20</v>
      </c>
      <c r="G9" s="10" t="s">
        <v>20</v>
      </c>
      <c r="H9" s="10" t="s">
        <v>21</v>
      </c>
      <c r="I9" s="10" t="s">
        <v>21</v>
      </c>
      <c r="J9" s="10" t="s">
        <v>21</v>
      </c>
      <c r="K9" s="10"/>
      <c r="L9" s="10"/>
      <c r="M9" s="10"/>
    </row>
    <row r="10" ht="18.0" customHeight="1">
      <c r="A10" s="11">
        <v>1.0</v>
      </c>
      <c r="B10" s="12">
        <v>46146.0</v>
      </c>
      <c r="C10" s="13" t="s">
        <v>33</v>
      </c>
      <c r="D10" s="15">
        <v>10.0</v>
      </c>
      <c r="E10" s="15">
        <v>10.0</v>
      </c>
      <c r="F10" s="15"/>
      <c r="G10" s="15"/>
      <c r="H10" s="14">
        <f t="shared" ref="H10:H12" si="1">D10*45+F10*12</f>
        <v>450</v>
      </c>
      <c r="I10" s="15">
        <v>45.8</v>
      </c>
      <c r="J10" s="15">
        <f t="shared" ref="J10:J12" si="2">H10-I10</f>
        <v>404.2</v>
      </c>
      <c r="K10" s="16"/>
      <c r="L10" s="16">
        <f t="shared" ref="L10:L12" si="3">K10*J10</f>
        <v>0</v>
      </c>
      <c r="M10" s="17"/>
    </row>
    <row r="11" ht="18.0" customHeight="1">
      <c r="A11" s="11">
        <v>2.0</v>
      </c>
      <c r="B11" s="12">
        <v>46153.0</v>
      </c>
      <c r="C11" s="13" t="s">
        <v>33</v>
      </c>
      <c r="D11" s="15">
        <v>10.0</v>
      </c>
      <c r="E11" s="15">
        <v>10.0</v>
      </c>
      <c r="F11" s="15"/>
      <c r="G11" s="15"/>
      <c r="H11" s="14">
        <f t="shared" si="1"/>
        <v>450</v>
      </c>
      <c r="I11" s="15">
        <v>31.9</v>
      </c>
      <c r="J11" s="15">
        <f t="shared" si="2"/>
        <v>418.1</v>
      </c>
      <c r="K11" s="16"/>
      <c r="L11" s="16">
        <f t="shared" si="3"/>
        <v>0</v>
      </c>
      <c r="M11" s="17"/>
    </row>
    <row r="12" ht="18.0" customHeight="1">
      <c r="A12" s="11">
        <v>3.0</v>
      </c>
      <c r="B12" s="12">
        <v>46161.0</v>
      </c>
      <c r="C12" s="13" t="s">
        <v>33</v>
      </c>
      <c r="D12" s="15">
        <v>10.0</v>
      </c>
      <c r="E12" s="15"/>
      <c r="F12" s="15">
        <v>10.0</v>
      </c>
      <c r="G12" s="15"/>
      <c r="H12" s="14">
        <f t="shared" si="1"/>
        <v>570</v>
      </c>
      <c r="I12" s="15">
        <v>90.8</v>
      </c>
      <c r="J12" s="15">
        <f t="shared" si="2"/>
        <v>479.2</v>
      </c>
      <c r="K12" s="16"/>
      <c r="L12" s="16">
        <f t="shared" si="3"/>
        <v>0</v>
      </c>
      <c r="M12" s="17"/>
    </row>
    <row r="13" ht="18.0" customHeight="1">
      <c r="A13" s="20" t="s">
        <v>23</v>
      </c>
      <c r="B13" s="21"/>
      <c r="C13" s="21"/>
      <c r="D13" s="22">
        <f t="shared" ref="D13:J13" si="4">SUM(D10:D12)</f>
        <v>30</v>
      </c>
      <c r="E13" s="22">
        <f t="shared" si="4"/>
        <v>20</v>
      </c>
      <c r="F13" s="22">
        <f t="shared" si="4"/>
        <v>10</v>
      </c>
      <c r="G13" s="22">
        <f t="shared" si="4"/>
        <v>0</v>
      </c>
      <c r="H13" s="21">
        <f t="shared" si="4"/>
        <v>1470</v>
      </c>
      <c r="I13" s="22">
        <f t="shared" si="4"/>
        <v>168.5</v>
      </c>
      <c r="J13" s="22">
        <f t="shared" si="4"/>
        <v>1301.5</v>
      </c>
      <c r="K13" s="21"/>
      <c r="L13" s="23">
        <f>SUM(L10:L12)</f>
        <v>0</v>
      </c>
      <c r="M13" s="21"/>
    </row>
    <row r="14" ht="18.0" customHeight="1">
      <c r="A14" s="24" t="s">
        <v>24</v>
      </c>
      <c r="L14" s="25">
        <f>L13*0.08</f>
        <v>0</v>
      </c>
    </row>
    <row r="15" ht="18.0" customHeight="1">
      <c r="A15" s="24" t="s">
        <v>25</v>
      </c>
      <c r="L15" s="25">
        <f>L13+L14</f>
        <v>0</v>
      </c>
    </row>
    <row r="16" ht="18.0" customHeight="1">
      <c r="A16" s="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L16" s="25">
        <f>L15</f>
        <v>0</v>
      </c>
    </row>
    <row r="17" ht="14.25" customHeight="1"/>
    <row r="18" ht="18.0" customHeight="1">
      <c r="J18" s="26" t="str">
        <f>"TP Hồ Chí Minh, Ngày "&amp;TEXT(DAY(DATE($P$2,$P$1+1,0)),"00")&amp;" tháng "&amp;TEXT($P$1,"00")&amp;" năm "&amp;$P$2</f>
        <v>TP Hồ Chí Minh, Ngày 31 tháng 05 năm 2026</v>
      </c>
    </row>
    <row r="19" ht="18.0" customHeight="1">
      <c r="A19" s="27" t="s">
        <v>26</v>
      </c>
      <c r="J19" s="27" t="s">
        <v>27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7:N7"/>
    <mergeCell ref="A14:K14"/>
    <mergeCell ref="A15:K15"/>
    <mergeCell ref="A16:K16"/>
    <mergeCell ref="J18:M18"/>
    <mergeCell ref="A19:D19"/>
    <mergeCell ref="J19:M19"/>
    <mergeCell ref="A1:N1"/>
    <mergeCell ref="A2:N2"/>
    <mergeCell ref="A3:N3"/>
    <mergeCell ref="O3:P3"/>
    <mergeCell ref="A4:N4"/>
    <mergeCell ref="A5:N5"/>
    <mergeCell ref="A6:N6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3" width="20.0"/>
    <col customWidth="1" min="4" max="7" width="8.0"/>
    <col customWidth="1" min="8" max="9" width="10.0"/>
    <col customWidth="1" min="10" max="10" width="13.0"/>
    <col customWidth="1" min="11" max="12" width="16.0"/>
    <col customWidth="1" min="13" max="13" width="14.0"/>
    <col customWidth="1" min="14" max="26" width="8.71"/>
  </cols>
  <sheetData>
    <row r="1" ht="30.0" customHeight="1">
      <c r="A1" s="1" t="s">
        <v>0</v>
      </c>
      <c r="O1" s="2" t="s">
        <v>1</v>
      </c>
      <c r="P1" s="3">
        <v>5.0</v>
      </c>
    </row>
    <row r="2" ht="21.75" customHeight="1">
      <c r="A2" s="4" t="s">
        <v>2</v>
      </c>
      <c r="O2" s="2" t="s">
        <v>3</v>
      </c>
      <c r="P2" s="3">
        <v>2026.0</v>
      </c>
    </row>
    <row r="3" ht="18.0" customHeight="1">
      <c r="A3" s="5" t="str">
        <f>"(THÁNG "&amp;TEXT($P$1,"00")&amp;"/"&amp;$P$2&amp;")"</f>
        <v>(THÁNG 05/2026)</v>
      </c>
      <c r="O3" s="6" t="s">
        <v>4</v>
      </c>
    </row>
    <row r="4" ht="42.0" customHeight="1">
      <c r="A4" s="7" t="s">
        <v>5</v>
      </c>
    </row>
    <row r="5" ht="15.75" customHeight="1">
      <c r="A5" s="8" t="s">
        <v>6</v>
      </c>
    </row>
    <row r="6" ht="15.75" customHeight="1">
      <c r="A6" s="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</row>
    <row r="7" ht="15.75" customHeight="1">
      <c r="A7" s="8" t="s">
        <v>7</v>
      </c>
    </row>
    <row r="8" ht="31.5" customHeigh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</row>
    <row r="9" ht="15.75" customHeight="1">
      <c r="A9" s="10"/>
      <c r="B9" s="10"/>
      <c r="C9" s="10"/>
      <c r="D9" s="10" t="s">
        <v>19</v>
      </c>
      <c r="E9" s="10" t="s">
        <v>19</v>
      </c>
      <c r="F9" s="10" t="s">
        <v>20</v>
      </c>
      <c r="G9" s="10" t="s">
        <v>20</v>
      </c>
      <c r="H9" s="10" t="s">
        <v>21</v>
      </c>
      <c r="I9" s="10" t="s">
        <v>21</v>
      </c>
      <c r="J9" s="10" t="s">
        <v>21</v>
      </c>
      <c r="K9" s="10"/>
      <c r="L9" s="10"/>
      <c r="M9" s="10"/>
    </row>
    <row r="10" ht="18.0" customHeight="1">
      <c r="A10" s="11">
        <v>1.0</v>
      </c>
      <c r="B10" s="12">
        <v>46148.0</v>
      </c>
      <c r="C10" s="13" t="s">
        <v>34</v>
      </c>
      <c r="D10" s="15">
        <v>8.0</v>
      </c>
      <c r="E10" s="15">
        <v>8.0</v>
      </c>
      <c r="F10" s="14">
        <v>0.0</v>
      </c>
      <c r="G10" s="14">
        <v>0.0</v>
      </c>
      <c r="H10" s="14">
        <f t="shared" ref="H10:H11" si="1">D10*45+F10*12</f>
        <v>360</v>
      </c>
      <c r="I10" s="15">
        <v>0.0</v>
      </c>
      <c r="J10" s="15">
        <f t="shared" ref="J10:J11" si="2">H10-I10</f>
        <v>360</v>
      </c>
      <c r="K10" s="16"/>
      <c r="L10" s="16">
        <f t="shared" ref="L10:L11" si="3">K10*J10</f>
        <v>0</v>
      </c>
      <c r="M10" s="17"/>
    </row>
    <row r="11" ht="18.0" customHeight="1">
      <c r="A11" s="11">
        <v>2.0</v>
      </c>
      <c r="B11" s="12">
        <v>46162.0</v>
      </c>
      <c r="C11" s="13" t="s">
        <v>34</v>
      </c>
      <c r="D11" s="14">
        <v>10.0</v>
      </c>
      <c r="E11" s="14">
        <v>10.0</v>
      </c>
      <c r="F11" s="14">
        <v>0.0</v>
      </c>
      <c r="G11" s="14">
        <v>0.0</v>
      </c>
      <c r="H11" s="14">
        <f t="shared" si="1"/>
        <v>450</v>
      </c>
      <c r="I11" s="15">
        <v>16.4</v>
      </c>
      <c r="J11" s="15">
        <f t="shared" si="2"/>
        <v>433.6</v>
      </c>
      <c r="K11" s="16"/>
      <c r="L11" s="16">
        <f t="shared" si="3"/>
        <v>0</v>
      </c>
      <c r="M11" s="17"/>
    </row>
    <row r="12" ht="18.0" customHeight="1">
      <c r="A12" s="20" t="s">
        <v>23</v>
      </c>
      <c r="B12" s="21"/>
      <c r="C12" s="21"/>
      <c r="D12" s="22">
        <f t="shared" ref="D12:L12" si="4">SUM(D10:D11)</f>
        <v>18</v>
      </c>
      <c r="E12" s="22">
        <f t="shared" si="4"/>
        <v>18</v>
      </c>
      <c r="F12" s="22">
        <f t="shared" si="4"/>
        <v>0</v>
      </c>
      <c r="G12" s="22">
        <f t="shared" si="4"/>
        <v>0</v>
      </c>
      <c r="H12" s="22">
        <f t="shared" si="4"/>
        <v>810</v>
      </c>
      <c r="I12" s="22">
        <f t="shared" si="4"/>
        <v>16.4</v>
      </c>
      <c r="J12" s="22">
        <f t="shared" si="4"/>
        <v>793.6</v>
      </c>
      <c r="K12" s="22">
        <f t="shared" si="4"/>
        <v>0</v>
      </c>
      <c r="L12" s="22">
        <f t="shared" si="4"/>
        <v>0</v>
      </c>
      <c r="M12" s="21"/>
    </row>
    <row r="13" ht="18.0" customHeight="1">
      <c r="A13" s="24" t="s">
        <v>24</v>
      </c>
      <c r="L13" s="25">
        <f>L12*0.08</f>
        <v>0</v>
      </c>
    </row>
    <row r="14" ht="18.0" customHeight="1">
      <c r="A14" s="24" t="s">
        <v>25</v>
      </c>
      <c r="L14" s="25">
        <f>L12+L13</f>
        <v>0</v>
      </c>
    </row>
    <row r="15" ht="18.0" customHeight="1">
      <c r="A15" s="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L15" s="25">
        <f>L14</f>
        <v>0</v>
      </c>
    </row>
    <row r="16" ht="14.25" customHeight="1"/>
    <row r="17" ht="18.0" customHeight="1">
      <c r="J17" s="26" t="str">
        <f>"TP Hồ Chí Minh, Ngày "&amp;TEXT(DAY(DATE($P$2,$P$1+1,0)),"00")&amp;" tháng "&amp;TEXT($P$1,"00")&amp;" năm "&amp;$P$2</f>
        <v>TP Hồ Chí Minh, Ngày 31 tháng 05 năm 2026</v>
      </c>
    </row>
    <row r="18" ht="18.0" customHeight="1">
      <c r="A18" s="27" t="s">
        <v>26</v>
      </c>
      <c r="J18" s="27" t="s">
        <v>27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7:N7"/>
    <mergeCell ref="A13:K13"/>
    <mergeCell ref="A14:K14"/>
    <mergeCell ref="A15:K15"/>
    <mergeCell ref="J17:M17"/>
    <mergeCell ref="A18:D18"/>
    <mergeCell ref="J18:M18"/>
    <mergeCell ref="A1:N1"/>
    <mergeCell ref="A2:N2"/>
    <mergeCell ref="A3:N3"/>
    <mergeCell ref="O3:P3"/>
    <mergeCell ref="A4:N4"/>
    <mergeCell ref="A5:N5"/>
    <mergeCell ref="A6:N6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3" width="20.0"/>
    <col customWidth="1" min="4" max="7" width="8.0"/>
    <col customWidth="1" min="8" max="9" width="10.0"/>
    <col customWidth="1" min="10" max="10" width="13.0"/>
    <col customWidth="1" min="11" max="12" width="16.0"/>
    <col customWidth="1" min="13" max="13" width="14.0"/>
    <col customWidth="1" min="14" max="26" width="8.71"/>
  </cols>
  <sheetData>
    <row r="1" ht="30.0" customHeight="1">
      <c r="A1" s="1" t="s">
        <v>0</v>
      </c>
      <c r="O1" s="2" t="s">
        <v>1</v>
      </c>
      <c r="P1" s="3">
        <v>5.0</v>
      </c>
    </row>
    <row r="2" ht="21.75" customHeight="1">
      <c r="A2" s="4" t="s">
        <v>2</v>
      </c>
      <c r="O2" s="2" t="s">
        <v>3</v>
      </c>
      <c r="P2" s="3">
        <v>2026.0</v>
      </c>
    </row>
    <row r="3" ht="18.0" customHeight="1">
      <c r="A3" s="5" t="str">
        <f>"(THÁNG "&amp;TEXT($P$1,"00")&amp;"/"&amp;$P$2&amp;")"</f>
        <v>(THÁNG 05/2026)</v>
      </c>
      <c r="O3" s="6" t="s">
        <v>4</v>
      </c>
    </row>
    <row r="4" ht="42.0" customHeight="1">
      <c r="A4" s="7" t="s">
        <v>5</v>
      </c>
    </row>
    <row r="5" ht="15.75" customHeight="1">
      <c r="A5" s="8" t="s">
        <v>6</v>
      </c>
    </row>
    <row r="6" ht="15.75" customHeight="1">
      <c r="A6" s="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</row>
    <row r="7" ht="15.75" customHeight="1">
      <c r="A7" s="8" t="s">
        <v>7</v>
      </c>
    </row>
    <row r="8" ht="31.5" customHeigh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</row>
    <row r="9" ht="15.75" customHeight="1">
      <c r="A9" s="10"/>
      <c r="B9" s="10"/>
      <c r="C9" s="10"/>
      <c r="D9" s="10" t="s">
        <v>19</v>
      </c>
      <c r="E9" s="10" t="s">
        <v>19</v>
      </c>
      <c r="F9" s="10" t="s">
        <v>20</v>
      </c>
      <c r="G9" s="10" t="s">
        <v>20</v>
      </c>
      <c r="H9" s="10" t="s">
        <v>21</v>
      </c>
      <c r="I9" s="10" t="s">
        <v>21</v>
      </c>
      <c r="J9" s="10" t="s">
        <v>21</v>
      </c>
      <c r="K9" s="10"/>
      <c r="L9" s="10"/>
      <c r="M9" s="10"/>
    </row>
    <row r="10" ht="18.0" customHeight="1">
      <c r="A10" s="11">
        <v>1.0</v>
      </c>
      <c r="B10" s="12">
        <v>46146.0</v>
      </c>
      <c r="C10" s="13" t="s">
        <v>35</v>
      </c>
      <c r="D10" s="15">
        <v>1.0</v>
      </c>
      <c r="E10" s="15">
        <v>1.0</v>
      </c>
      <c r="F10" s="14">
        <v>0.0</v>
      </c>
      <c r="G10" s="14">
        <v>0.0</v>
      </c>
      <c r="H10" s="14">
        <f t="shared" ref="H10:H13" si="1">D10*45+F10*12</f>
        <v>45</v>
      </c>
      <c r="I10" s="14">
        <v>0.0</v>
      </c>
      <c r="J10" s="14">
        <f t="shared" ref="J10:J13" si="2">H10-I10</f>
        <v>45</v>
      </c>
      <c r="K10" s="16"/>
      <c r="L10" s="16">
        <f t="shared" ref="L10:L13" si="3">K10*J10</f>
        <v>0</v>
      </c>
      <c r="M10" s="17"/>
    </row>
    <row r="11" ht="18.0" customHeight="1">
      <c r="A11" s="11">
        <v>2.0</v>
      </c>
      <c r="B11" s="12">
        <v>46151.0</v>
      </c>
      <c r="C11" s="13" t="s">
        <v>35</v>
      </c>
      <c r="D11" s="15">
        <v>1.0</v>
      </c>
      <c r="E11" s="15">
        <v>1.0</v>
      </c>
      <c r="F11" s="14">
        <v>0.0</v>
      </c>
      <c r="G11" s="14">
        <v>0.0</v>
      </c>
      <c r="H11" s="14">
        <f t="shared" si="1"/>
        <v>45</v>
      </c>
      <c r="I11" s="14">
        <v>0.0</v>
      </c>
      <c r="J11" s="14">
        <f t="shared" si="2"/>
        <v>45</v>
      </c>
      <c r="K11" s="16"/>
      <c r="L11" s="16">
        <f t="shared" si="3"/>
        <v>0</v>
      </c>
      <c r="M11" s="17"/>
    </row>
    <row r="12" ht="18.0" customHeight="1">
      <c r="A12" s="11">
        <v>3.0</v>
      </c>
      <c r="B12" s="12">
        <v>46155.0</v>
      </c>
      <c r="C12" s="13" t="s">
        <v>35</v>
      </c>
      <c r="D12" s="15">
        <v>1.0</v>
      </c>
      <c r="E12" s="15">
        <v>1.0</v>
      </c>
      <c r="F12" s="14">
        <v>0.0</v>
      </c>
      <c r="G12" s="14">
        <v>0.0</v>
      </c>
      <c r="H12" s="14">
        <f t="shared" si="1"/>
        <v>45</v>
      </c>
      <c r="I12" s="14">
        <v>16.0</v>
      </c>
      <c r="J12" s="14">
        <f t="shared" si="2"/>
        <v>29</v>
      </c>
      <c r="K12" s="16"/>
      <c r="L12" s="16">
        <f t="shared" si="3"/>
        <v>0</v>
      </c>
      <c r="M12" s="17"/>
    </row>
    <row r="13" ht="18.0" customHeight="1">
      <c r="A13" s="28">
        <v>4.0</v>
      </c>
      <c r="B13" s="18">
        <v>46165.0</v>
      </c>
      <c r="C13" s="13" t="s">
        <v>35</v>
      </c>
      <c r="D13" s="29">
        <v>4.0</v>
      </c>
      <c r="E13" s="29">
        <v>4.0</v>
      </c>
      <c r="F13" s="14">
        <v>0.0</v>
      </c>
      <c r="G13" s="14">
        <v>0.0</v>
      </c>
      <c r="H13" s="14">
        <f t="shared" si="1"/>
        <v>180</v>
      </c>
      <c r="I13" s="19">
        <v>0.0</v>
      </c>
      <c r="J13" s="14">
        <f t="shared" si="2"/>
        <v>180</v>
      </c>
      <c r="K13" s="16"/>
      <c r="L13" s="16">
        <f t="shared" si="3"/>
        <v>0</v>
      </c>
      <c r="M13" s="17"/>
    </row>
    <row r="14" ht="18.0" customHeight="1">
      <c r="A14" s="20" t="s">
        <v>23</v>
      </c>
      <c r="B14" s="21"/>
      <c r="C14" s="21"/>
      <c r="D14" s="22">
        <f t="shared" ref="D14:J14" si="4">SUM(D10:D13)</f>
        <v>7</v>
      </c>
      <c r="E14" s="22">
        <f t="shared" si="4"/>
        <v>7</v>
      </c>
      <c r="F14" s="21">
        <f t="shared" si="4"/>
        <v>0</v>
      </c>
      <c r="G14" s="21">
        <f t="shared" si="4"/>
        <v>0</v>
      </c>
      <c r="H14" s="21">
        <f t="shared" si="4"/>
        <v>315</v>
      </c>
      <c r="I14" s="21">
        <f t="shared" si="4"/>
        <v>16</v>
      </c>
      <c r="J14" s="21">
        <f t="shared" si="4"/>
        <v>299</v>
      </c>
      <c r="K14" s="21"/>
      <c r="L14" s="23">
        <f>SUM(L10:L13)</f>
        <v>0</v>
      </c>
      <c r="M14" s="21"/>
    </row>
    <row r="15" ht="18.0" customHeight="1">
      <c r="A15" s="24" t="s">
        <v>24</v>
      </c>
      <c r="L15" s="25">
        <f>L14*0.08</f>
        <v>0</v>
      </c>
    </row>
    <row r="16" ht="18.0" customHeight="1">
      <c r="A16" s="24" t="s">
        <v>25</v>
      </c>
      <c r="L16" s="25">
        <f>L14+L15</f>
        <v>0</v>
      </c>
    </row>
    <row r="17" ht="14.25" customHeight="1">
      <c r="A17" s="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L17" s="25">
        <f>L16</f>
        <v>0</v>
      </c>
    </row>
    <row r="18" ht="18.0" customHeight="1"/>
    <row r="19" ht="18.0" customHeight="1">
      <c r="J19" s="26" t="str">
        <f>"TP Hồ Chí Minh, Ngày "&amp;TEXT(DAY(DATE($P$2,$P$1+1,0)),"00")&amp;" tháng "&amp;TEXT($P$1,"00")&amp;" năm "&amp;$P$2</f>
        <v>TP Hồ Chí Minh, Ngày 31 tháng 05 năm 2026</v>
      </c>
    </row>
    <row r="20" ht="14.25" customHeight="1">
      <c r="A20" s="27" t="s">
        <v>26</v>
      </c>
      <c r="J20" s="27" t="s">
        <v>27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1:N1"/>
    <mergeCell ref="A2:N2"/>
    <mergeCell ref="A3:N3"/>
    <mergeCell ref="O3:P3"/>
    <mergeCell ref="A4:N4"/>
    <mergeCell ref="A5:N5"/>
    <mergeCell ref="A6:N6"/>
    <mergeCell ref="A7:N7"/>
    <mergeCell ref="A15:K15"/>
    <mergeCell ref="A16:K16"/>
    <mergeCell ref="A17:K17"/>
    <mergeCell ref="J19:M19"/>
    <mergeCell ref="A20:D20"/>
    <mergeCell ref="J20:M20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3" width="20.0"/>
    <col customWidth="1" min="4" max="7" width="8.0"/>
    <col customWidth="1" min="8" max="9" width="10.0"/>
    <col customWidth="1" min="10" max="10" width="13.0"/>
    <col customWidth="1" min="11" max="12" width="16.0"/>
    <col customWidth="1" min="13" max="13" width="14.0"/>
    <col customWidth="1" min="14" max="26" width="8.71"/>
  </cols>
  <sheetData>
    <row r="1" ht="30.0" customHeight="1">
      <c r="A1" s="1" t="s">
        <v>0</v>
      </c>
      <c r="O1" s="2" t="s">
        <v>1</v>
      </c>
      <c r="P1" s="3">
        <v>5.0</v>
      </c>
    </row>
    <row r="2" ht="21.75" customHeight="1">
      <c r="A2" s="4" t="s">
        <v>2</v>
      </c>
      <c r="O2" s="2" t="s">
        <v>3</v>
      </c>
      <c r="P2" s="3">
        <v>2026.0</v>
      </c>
    </row>
    <row r="3" ht="18.0" customHeight="1">
      <c r="A3" s="5" t="str">
        <f>"(THÁNG "&amp;TEXT($P$1,"00")&amp;"/"&amp;$P$2&amp;")"</f>
        <v>(THÁNG 05/2026)</v>
      </c>
      <c r="O3" s="6" t="s">
        <v>4</v>
      </c>
    </row>
    <row r="4" ht="42.0" customHeight="1">
      <c r="A4" s="7" t="s">
        <v>5</v>
      </c>
    </row>
    <row r="5" ht="15.75" customHeight="1">
      <c r="A5" s="8" t="s">
        <v>6</v>
      </c>
    </row>
    <row r="6" ht="15.75" customHeight="1">
      <c r="A6" s="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</row>
    <row r="7" ht="15.75" customHeight="1">
      <c r="A7" s="8" t="s">
        <v>7</v>
      </c>
    </row>
    <row r="8" ht="31.5" customHeigh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</row>
    <row r="9" ht="15.75" customHeight="1">
      <c r="A9" s="10"/>
      <c r="B9" s="10"/>
      <c r="C9" s="10"/>
      <c r="D9" s="10" t="s">
        <v>19</v>
      </c>
      <c r="E9" s="10" t="s">
        <v>19</v>
      </c>
      <c r="F9" s="10" t="s">
        <v>20</v>
      </c>
      <c r="G9" s="10" t="s">
        <v>20</v>
      </c>
      <c r="H9" s="10" t="s">
        <v>21</v>
      </c>
      <c r="I9" s="10" t="s">
        <v>21</v>
      </c>
      <c r="J9" s="10" t="s">
        <v>21</v>
      </c>
      <c r="K9" s="10"/>
      <c r="L9" s="10"/>
      <c r="M9" s="10"/>
    </row>
    <row r="10" ht="18.0" customHeight="1">
      <c r="A10" s="11">
        <v>1.0</v>
      </c>
      <c r="B10" s="12">
        <v>46146.0</v>
      </c>
      <c r="C10" s="13" t="s">
        <v>36</v>
      </c>
      <c r="D10" s="15">
        <v>4.0</v>
      </c>
      <c r="E10" s="15">
        <v>4.0</v>
      </c>
      <c r="F10" s="14">
        <v>0.0</v>
      </c>
      <c r="G10" s="14">
        <v>0.0</v>
      </c>
      <c r="H10" s="14">
        <f t="shared" ref="H10:H14" si="1">D10*45+F10*12</f>
        <v>180</v>
      </c>
      <c r="I10" s="14">
        <v>0.0</v>
      </c>
      <c r="J10" s="14">
        <f t="shared" ref="J10:J14" si="2">H10-I10</f>
        <v>180</v>
      </c>
      <c r="K10" s="16"/>
      <c r="L10" s="16">
        <f t="shared" ref="L10:L14" si="3">K10*J10</f>
        <v>0</v>
      </c>
      <c r="M10" s="17"/>
    </row>
    <row r="11" ht="18.0" customHeight="1">
      <c r="A11" s="11">
        <v>2.0</v>
      </c>
      <c r="B11" s="12">
        <v>46150.0</v>
      </c>
      <c r="C11" s="13" t="s">
        <v>36</v>
      </c>
      <c r="D11" s="15">
        <v>4.0</v>
      </c>
      <c r="E11" s="15">
        <v>4.0</v>
      </c>
      <c r="F11" s="14">
        <v>0.0</v>
      </c>
      <c r="G11" s="14">
        <v>0.0</v>
      </c>
      <c r="H11" s="14">
        <f t="shared" si="1"/>
        <v>180</v>
      </c>
      <c r="I11" s="14">
        <v>0.0</v>
      </c>
      <c r="J11" s="14">
        <f t="shared" si="2"/>
        <v>180</v>
      </c>
      <c r="K11" s="16"/>
      <c r="L11" s="16">
        <f t="shared" si="3"/>
        <v>0</v>
      </c>
      <c r="M11" s="17"/>
    </row>
    <row r="12" ht="18.0" customHeight="1">
      <c r="A12" s="11">
        <v>3.0</v>
      </c>
      <c r="B12" s="12">
        <v>46153.0</v>
      </c>
      <c r="C12" s="13" t="s">
        <v>36</v>
      </c>
      <c r="D12" s="15">
        <v>4.0</v>
      </c>
      <c r="E12" s="15">
        <v>4.0</v>
      </c>
      <c r="F12" s="14">
        <v>0.0</v>
      </c>
      <c r="G12" s="14">
        <v>0.0</v>
      </c>
      <c r="H12" s="14">
        <f t="shared" si="1"/>
        <v>180</v>
      </c>
      <c r="I12" s="14">
        <v>0.0</v>
      </c>
      <c r="J12" s="14">
        <f t="shared" si="2"/>
        <v>180</v>
      </c>
      <c r="K12" s="16"/>
      <c r="L12" s="16">
        <f t="shared" si="3"/>
        <v>0</v>
      </c>
      <c r="M12" s="17"/>
    </row>
    <row r="13" ht="18.0" customHeight="1">
      <c r="A13" s="11">
        <v>4.0</v>
      </c>
      <c r="B13" s="12">
        <v>46159.0</v>
      </c>
      <c r="C13" s="13" t="s">
        <v>36</v>
      </c>
      <c r="D13" s="15">
        <v>4.0</v>
      </c>
      <c r="E13" s="15">
        <v>4.0</v>
      </c>
      <c r="F13" s="14">
        <v>0.0</v>
      </c>
      <c r="G13" s="14">
        <v>0.0</v>
      </c>
      <c r="H13" s="14">
        <f t="shared" si="1"/>
        <v>180</v>
      </c>
      <c r="I13" s="14">
        <v>0.0</v>
      </c>
      <c r="J13" s="14">
        <f t="shared" si="2"/>
        <v>180</v>
      </c>
      <c r="K13" s="16"/>
      <c r="L13" s="16">
        <f t="shared" si="3"/>
        <v>0</v>
      </c>
      <c r="M13" s="17"/>
    </row>
    <row r="14" ht="18.0" customHeight="1">
      <c r="A14" s="11">
        <v>5.0</v>
      </c>
      <c r="B14" s="12">
        <v>46162.0</v>
      </c>
      <c r="C14" s="13" t="s">
        <v>36</v>
      </c>
      <c r="D14" s="15">
        <v>2.0</v>
      </c>
      <c r="E14" s="15">
        <v>2.0</v>
      </c>
      <c r="F14" s="14">
        <v>0.0</v>
      </c>
      <c r="G14" s="14">
        <v>0.0</v>
      </c>
      <c r="H14" s="14">
        <f t="shared" si="1"/>
        <v>90</v>
      </c>
      <c r="I14" s="14">
        <v>0.0</v>
      </c>
      <c r="J14" s="14">
        <f t="shared" si="2"/>
        <v>90</v>
      </c>
      <c r="K14" s="16"/>
      <c r="L14" s="16">
        <f t="shared" si="3"/>
        <v>0</v>
      </c>
      <c r="M14" s="17"/>
    </row>
    <row r="15" ht="18.0" customHeight="1">
      <c r="A15" s="20" t="s">
        <v>23</v>
      </c>
      <c r="B15" s="21"/>
      <c r="C15" s="21"/>
      <c r="D15" s="22">
        <f t="shared" ref="D15:J15" si="4">SUM(D10:D14)</f>
        <v>18</v>
      </c>
      <c r="E15" s="22">
        <f t="shared" si="4"/>
        <v>18</v>
      </c>
      <c r="F15" s="21">
        <f t="shared" si="4"/>
        <v>0</v>
      </c>
      <c r="G15" s="21">
        <f t="shared" si="4"/>
        <v>0</v>
      </c>
      <c r="H15" s="21">
        <f t="shared" si="4"/>
        <v>810</v>
      </c>
      <c r="I15" s="21">
        <f t="shared" si="4"/>
        <v>0</v>
      </c>
      <c r="J15" s="21">
        <f t="shared" si="4"/>
        <v>810</v>
      </c>
      <c r="K15" s="21"/>
      <c r="L15" s="23">
        <f>SUM(L10:L14)</f>
        <v>0</v>
      </c>
      <c r="M15" s="21"/>
    </row>
    <row r="16" ht="18.0" customHeight="1">
      <c r="A16" s="24" t="s">
        <v>24</v>
      </c>
      <c r="L16" s="25">
        <f>L15*0.08</f>
        <v>0</v>
      </c>
    </row>
    <row r="17" ht="18.0" customHeight="1">
      <c r="A17" s="24" t="s">
        <v>25</v>
      </c>
      <c r="L17" s="25">
        <f>L15+L16</f>
        <v>0</v>
      </c>
    </row>
    <row r="18" ht="18.0" customHeight="1">
      <c r="A18" s="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L18" s="25">
        <f>L17</f>
        <v>0</v>
      </c>
    </row>
    <row r="19" ht="14.25" customHeight="1"/>
    <row r="20" ht="18.0" customHeight="1">
      <c r="J20" s="26" t="str">
        <f>"TP Hồ Chí Minh, Ngày "&amp;TEXT(DAY(DATE($P$2,$P$1+1,0)),"00")&amp;" tháng "&amp;TEXT($P$1,"00")&amp;" năm "&amp;$P$2</f>
        <v>TP Hồ Chí Minh, Ngày 31 tháng 05 năm 2026</v>
      </c>
    </row>
    <row r="21" ht="18.0" customHeight="1">
      <c r="A21" s="27" t="s">
        <v>26</v>
      </c>
      <c r="J21" s="27" t="s">
        <v>27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7:N7"/>
    <mergeCell ref="A16:K16"/>
    <mergeCell ref="A17:K17"/>
    <mergeCell ref="A18:K18"/>
    <mergeCell ref="J20:M20"/>
    <mergeCell ref="A21:D21"/>
    <mergeCell ref="J21:M21"/>
    <mergeCell ref="A1:N1"/>
    <mergeCell ref="A2:N2"/>
    <mergeCell ref="A3:N3"/>
    <mergeCell ref="O3:P3"/>
    <mergeCell ref="A4:N4"/>
    <mergeCell ref="A5:N5"/>
    <mergeCell ref="A6:N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2026-05-25T04:33:19Z</dcterms:created>
  <dc:creator>openpyxl</dc:creator>
</cp:coreProperties>
</file>