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SNACK" sheetId="1" state="visible" r:id="rId1"/>
    <sheet xmlns:r="http://schemas.openxmlformats.org/officeDocument/2006/relationships" name="KOLONG3" sheetId="2" state="visible" r:id="rId2"/>
    <sheet xmlns:r="http://schemas.openxmlformats.org/officeDocument/2006/relationships" name="CSW" sheetId="3" state="visible" r:id="rId3"/>
    <sheet xmlns:r="http://schemas.openxmlformats.org/officeDocument/2006/relationships" name="CSB" sheetId="4" state="visible" r:id="rId4"/>
    <sheet xmlns:r="http://schemas.openxmlformats.org/officeDocument/2006/relationships" name="Yujin LA" sheetId="5" state="visible" r:id="rId5"/>
    <sheet xmlns:r="http://schemas.openxmlformats.org/officeDocument/2006/relationships" name="INZ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sz val="11"/>
    </font>
    <font>
      <name val="Arial"/>
      <i val="1"/>
      <color rgb="00888888"/>
      <sz val="8"/>
    </font>
    <font>
      <name val="Arial"/>
      <b val="1"/>
      <sz val="13"/>
    </font>
    <font>
      <name val="Arial"/>
      <sz val="10"/>
    </font>
    <font>
      <name val="Arial"/>
      <i val="1"/>
      <sz val="9"/>
    </font>
    <font>
      <name val="Arial"/>
      <i val="1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6DCE4"/>
      </patternFill>
    </fill>
    <fill>
      <patternFill patternType="solid">
        <fgColor rgb="00E9EDF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right"/>
    </xf>
    <xf numFmtId="165" fontId="2" fillId="2" borderId="1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5" fillId="0" borderId="1" pivotButton="0" quotePrefix="0" xfId="0"/>
    <xf numFmtId="0" fontId="1" fillId="5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right" vertical="center"/>
    </xf>
    <xf numFmtId="3" fontId="1" fillId="5" borderId="1" applyAlignment="1" pivotButton="0" quotePrefix="0" xfId="0">
      <alignment horizontal="right" vertical="center"/>
    </xf>
    <xf numFmtId="0" fontId="5" fillId="0" borderId="0" pivotButton="0" quotePrefix="0" xfId="0"/>
    <xf numFmtId="3" fontId="1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20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  <col width="10" customWidth="1" min="9" max="9"/>
    <col width="13" customWidth="1" min="10" max="10"/>
    <col width="16" customWidth="1" min="11" max="11"/>
    <col width="16" customWidth="1" min="12" max="12"/>
    <col width="14" customWidth="1" min="13" max="13"/>
  </cols>
  <sheetData>
    <row r="1" ht="30" customHeight="1">
      <c r="A1" s="1" t="inlineStr">
        <is>
          <t>CÔNG TY TNHH THƯƠNG MẠI DỊCH VỤ THÀNH TÍN LBG
115/22/60 BIS Đường Nguyễn Du, Phường 7, Quận Bình Thạnh, TP HCM</t>
        </is>
      </c>
      <c r="O1" s="2" t="inlineStr">
        <is>
          <t>Từ ngày:</t>
        </is>
      </c>
      <c r="P1" s="3" t="n">
        <v>46138</v>
      </c>
    </row>
    <row r="2" ht="22" customHeight="1">
      <c r="A2" s="4" t="inlineStr">
        <is>
          <t>BIÊN BẢN ĐỐI CHIẾU CÔNG NỢ</t>
        </is>
      </c>
      <c r="O2" s="2" t="inlineStr">
        <is>
          <t>Đến ngày:</t>
        </is>
      </c>
      <c r="P2" s="3" t="n">
        <v>46167</v>
      </c>
    </row>
    <row r="3" ht="18" customHeight="1">
      <c r="A3" s="5">
        <f>TEXT($P$1,"DD/MM/YYYY")&amp;" - "&amp;TEXT($P$2,"DD/MM/YYYY")</f>
        <v/>
      </c>
      <c r="O3" s="6" t="inlineStr">
        <is>
          <t>(Chỉ sửa 2 ô vàng)</t>
        </is>
      </c>
    </row>
    <row r="4" ht="42" customHeight="1">
      <c r="A4" s="7" t="inlineStr">
        <is>
          <t>KHÁCH HÀNG: CÔNG TY TNHH E VIET FOOD SOLUTION
ĐỊA CHỈ: Lô X5, Cụm công nghiệp Nhơn Trạch 2, Đồng Nai
MST:</t>
        </is>
      </c>
    </row>
    <row r="5" ht="16" customHeight="1">
      <c r="A5" s="8" t="inlineStr">
        <is>
          <t>Hai bên thống nhất số lượng bên B mua của bên A như sau:</t>
        </is>
      </c>
    </row>
    <row r="6" ht="16" customHeight="1">
      <c r="A6" s="8">
        <f>"1. Thời gian giao nhận: Từ "&amp;TEXT($P$1,"DD/MM/YYYY")&amp;" đến "&amp;TEXT($P$2,"DD/MM/YYYY")</f>
        <v/>
      </c>
    </row>
    <row r="7" ht="16" customHeight="1">
      <c r="A7" s="8" t="inlineStr">
        <is>
          <t>2. Khối lượng hàng hóa theo bảng kê chi tiết:</t>
        </is>
      </c>
    </row>
    <row r="8" ht="32" customHeight="1">
      <c r="A8" s="9" t="inlineStr">
        <is>
          <t>STT</t>
        </is>
      </c>
      <c r="B8" s="9" t="inlineStr">
        <is>
          <t>Ngày giao</t>
        </is>
      </c>
      <c r="C8" s="9" t="inlineStr">
        <is>
          <t>Nội Dung</t>
        </is>
      </c>
      <c r="D8" s="9" t="inlineStr">
        <is>
          <t>Bình Giao</t>
        </is>
      </c>
      <c r="E8" s="9" t="inlineStr">
        <is>
          <t>Trả vỏ</t>
        </is>
      </c>
      <c r="F8" s="9" t="inlineStr">
        <is>
          <t>Bình Giao</t>
        </is>
      </c>
      <c r="G8" s="9" t="inlineStr">
        <is>
          <t>Trả vỏ</t>
        </is>
      </c>
      <c r="H8" s="9" t="inlineStr">
        <is>
          <t>Gas giao</t>
        </is>
      </c>
      <c r="I8" s="9" t="inlineStr">
        <is>
          <t>Gas trả</t>
        </is>
      </c>
      <c r="J8" s="9" t="inlineStr">
        <is>
          <t>Gas thanh toán</t>
        </is>
      </c>
      <c r="K8" s="9" t="inlineStr">
        <is>
          <t>Đơn giá chưa VAT (vnđ/kg)</t>
        </is>
      </c>
      <c r="L8" s="9" t="inlineStr">
        <is>
          <t>Thành Tiền</t>
        </is>
      </c>
      <c r="M8" s="9" t="inlineStr">
        <is>
          <t>Ghi chú</t>
        </is>
      </c>
    </row>
    <row r="9" ht="16" customHeight="1">
      <c r="A9" s="10" t="n"/>
      <c r="B9" s="10" t="n"/>
      <c r="C9" s="10" t="n"/>
      <c r="D9" s="10" t="inlineStr">
        <is>
          <t>B45kg</t>
        </is>
      </c>
      <c r="E9" s="10" t="inlineStr">
        <is>
          <t>B45kg</t>
        </is>
      </c>
      <c r="F9" s="10" t="inlineStr">
        <is>
          <t>B12kg</t>
        </is>
      </c>
      <c r="G9" s="10" t="inlineStr">
        <is>
          <t>B12kg</t>
        </is>
      </c>
      <c r="H9" s="10" t="inlineStr">
        <is>
          <t>Kg</t>
        </is>
      </c>
      <c r="I9" s="10" t="inlineStr">
        <is>
          <t>Kg</t>
        </is>
      </c>
      <c r="J9" s="10" t="inlineStr">
        <is>
          <t>Kg</t>
        </is>
      </c>
      <c r="K9" s="10" t="n"/>
      <c r="L9" s="10" t="n"/>
      <c r="M9" s="10" t="n"/>
    </row>
    <row r="10" ht="18" customHeight="1">
      <c r="A10" s="11" t="n">
        <v>1</v>
      </c>
      <c r="B10" s="12" t="n">
        <v>46147</v>
      </c>
      <c r="C10" s="13" t="inlineStr">
        <is>
          <t>intersnack</t>
        </is>
      </c>
      <c r="D10" s="14" t="n">
        <v>4</v>
      </c>
      <c r="E10" s="14" t="n">
        <v>4</v>
      </c>
      <c r="F10" s="14" t="n">
        <v>0</v>
      </c>
      <c r="G10" s="14" t="n">
        <v>0</v>
      </c>
      <c r="H10" s="14">
        <f>D10*45+F10*12</f>
        <v/>
      </c>
      <c r="I10" s="14" t="n">
        <v>5.4</v>
      </c>
      <c r="J10" s="14">
        <f>H10-I10</f>
        <v/>
      </c>
      <c r="K10" s="15" t="n">
        <v>45769</v>
      </c>
      <c r="L10" s="15">
        <f>K10*J10</f>
        <v/>
      </c>
      <c r="M10" s="16" t="n"/>
    </row>
    <row r="11" ht="18" customHeight="1">
      <c r="A11" s="11" t="n">
        <v>2</v>
      </c>
      <c r="B11" s="12" t="inlineStr">
        <is>
          <t>23/5/2026</t>
        </is>
      </c>
      <c r="C11" s="13" t="inlineStr">
        <is>
          <t>intersnack</t>
        </is>
      </c>
      <c r="D11" s="14" t="n">
        <v>4</v>
      </c>
      <c r="E11" s="14" t="n">
        <v>4</v>
      </c>
      <c r="F11" s="14" t="n">
        <v>0</v>
      </c>
      <c r="G11" s="14" t="n">
        <v>0</v>
      </c>
      <c r="H11" s="14">
        <f>D11*45+F11*12</f>
        <v/>
      </c>
      <c r="I11" s="14" t="n">
        <v>3.5</v>
      </c>
      <c r="J11" s="14">
        <f>H11-I11</f>
        <v/>
      </c>
      <c r="K11" s="15" t="n">
        <v>45769</v>
      </c>
      <c r="L11" s="15">
        <f>K11*J11</f>
        <v/>
      </c>
      <c r="M11" s="16" t="n"/>
    </row>
    <row r="12" ht="18" customHeight="1">
      <c r="A12" s="17" t="inlineStr">
        <is>
          <t>TỔNG</t>
        </is>
      </c>
      <c r="B12" s="18" t="n"/>
      <c r="C12" s="18" t="n"/>
      <c r="D12" s="18">
        <f>SUM(D10:D11)</f>
        <v/>
      </c>
      <c r="E12" s="18">
        <f>SUM(E10:E11)</f>
        <v/>
      </c>
      <c r="F12" s="18">
        <f>SUM(F10:F11)</f>
        <v/>
      </c>
      <c r="G12" s="18">
        <f>SUM(G10:G11)</f>
        <v/>
      </c>
      <c r="H12" s="18">
        <f>SUM(H10:H11)</f>
        <v/>
      </c>
      <c r="I12" s="18">
        <f>SUM(I10:I11)</f>
        <v/>
      </c>
      <c r="J12" s="18">
        <f>SUM(J10:J11)</f>
        <v/>
      </c>
      <c r="K12" s="18" t="n"/>
      <c r="L12" s="19">
        <f>SUM(L10:L11)</f>
        <v/>
      </c>
      <c r="M12" s="18" t="n"/>
    </row>
    <row r="13" ht="18" customHeight="1">
      <c r="A13" s="20" t="inlineStr">
        <is>
          <t>Thuế GTGT (8%)</t>
        </is>
      </c>
      <c r="L13" s="21">
        <f>L12*0.08</f>
        <v/>
      </c>
    </row>
    <row r="14" ht="18" customHeight="1">
      <c r="A14" s="20" t="inlineStr">
        <is>
          <t>Tổng tiền hàng (bao gồm GTGT 8%) là:</t>
        </is>
      </c>
      <c r="L14" s="21">
        <f>L12+L13</f>
        <v/>
      </c>
    </row>
    <row r="15" ht="18" customHeight="1">
      <c r="A15" s="8">
        <f>"Tổng số tiền nợ tính từ "&amp;TEXT($P$1,"DD/MM/YYYY")&amp;" đến "&amp;TEXT($P$2,"DD/MM/YYYY")</f>
        <v/>
      </c>
      <c r="L15" s="21">
        <f>L14</f>
        <v/>
      </c>
    </row>
    <row r="17" ht="18" customHeight="1">
      <c r="J17" s="22">
        <f>"TP Hồ Chí Minh, Ngày "&amp;TEXT($P$2,"DD")&amp;" tháng "&amp;TEXT($P$2,"MM")&amp;" năm "&amp;TEXT($P$2,"YYYY")</f>
        <v/>
      </c>
    </row>
    <row r="18" ht="18" customHeight="1">
      <c r="A18" s="23" t="inlineStr">
        <is>
          <t>Xác nhận của khách hàng</t>
        </is>
      </c>
      <c r="J18" s="23" t="inlineStr">
        <is>
          <t>Người lập</t>
        </is>
      </c>
    </row>
  </sheetData>
  <mergeCells count="14">
    <mergeCell ref="O3:P3"/>
    <mergeCell ref="A3:N3"/>
    <mergeCell ref="A6:N6"/>
    <mergeCell ref="A18:D18"/>
    <mergeCell ref="A4:N4"/>
    <mergeCell ref="J17:M17"/>
    <mergeCell ref="A15:K15"/>
    <mergeCell ref="A2:N2"/>
    <mergeCell ref="A7:N7"/>
    <mergeCell ref="A14:K14"/>
    <mergeCell ref="A13:K13"/>
    <mergeCell ref="A5:N5"/>
    <mergeCell ref="J18:M18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20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  <col width="10" customWidth="1" min="9" max="9"/>
    <col width="13" customWidth="1" min="10" max="10"/>
    <col width="16" customWidth="1" min="11" max="11"/>
    <col width="16" customWidth="1" min="12" max="12"/>
    <col width="14" customWidth="1" min="13" max="13"/>
  </cols>
  <sheetData>
    <row r="1" ht="30" customHeight="1">
      <c r="A1" s="1" t="inlineStr">
        <is>
          <t>CÔNG TY TNHH THƯƠNG MẠI DỊCH VỤ THÀNH TÍN LBG
115/22/60 BIS Đường Nguyễn Du, Phường 7, Quận Bình Thạnh, TP HCM</t>
        </is>
      </c>
      <c r="O1" s="2" t="inlineStr">
        <is>
          <t>Từ ngày:</t>
        </is>
      </c>
      <c r="P1" s="3" t="n">
        <v>46138</v>
      </c>
    </row>
    <row r="2" ht="22" customHeight="1">
      <c r="A2" s="4" t="inlineStr">
        <is>
          <t>BIÊN BẢN ĐỐI CHIẾU CÔNG NỢ</t>
        </is>
      </c>
      <c r="O2" s="2" t="inlineStr">
        <is>
          <t>Đến ngày:</t>
        </is>
      </c>
      <c r="P2" s="3" t="n">
        <v>46167</v>
      </c>
    </row>
    <row r="3" ht="18" customHeight="1">
      <c r="A3" s="5">
        <f>TEXT($P$1,"DD/MM/YYYY")&amp;" - "&amp;TEXT($P$2,"DD/MM/YYYY")</f>
        <v/>
      </c>
      <c r="O3" s="6" t="inlineStr">
        <is>
          <t>(Chỉ sửa 2 ô vàng)</t>
        </is>
      </c>
    </row>
    <row r="4" ht="42" customHeight="1">
      <c r="A4" s="7" t="inlineStr">
        <is>
          <t>KHÁCH HÀNG: CÔNG TY TNHH E VIET FOOD SOLUTION
ĐỊA CHỈ: Lô X5, Cụm công nghiệp Nhơn Trạch 2, Đồng Nai
MST:</t>
        </is>
      </c>
    </row>
    <row r="5" ht="16" customHeight="1">
      <c r="A5" s="8" t="inlineStr">
        <is>
          <t>Hai bên thống nhất số lượng bên B mua của bên A như sau:</t>
        </is>
      </c>
    </row>
    <row r="6" ht="16" customHeight="1">
      <c r="A6" s="8">
        <f>"1. Thời gian giao nhận: Từ "&amp;TEXT($P$1,"DD/MM/YYYY")&amp;" đến "&amp;TEXT($P$2,"DD/MM/YYYY")</f>
        <v/>
      </c>
    </row>
    <row r="7" ht="16" customHeight="1">
      <c r="A7" s="8" t="inlineStr">
        <is>
          <t>2. Khối lượng hàng hóa theo bảng kê chi tiết:</t>
        </is>
      </c>
    </row>
    <row r="8" ht="32" customHeight="1">
      <c r="A8" s="9" t="inlineStr">
        <is>
          <t>STT</t>
        </is>
      </c>
      <c r="B8" s="9" t="inlineStr">
        <is>
          <t>Ngày giao</t>
        </is>
      </c>
      <c r="C8" s="9" t="inlineStr">
        <is>
          <t>Nội Dung</t>
        </is>
      </c>
      <c r="D8" s="9" t="inlineStr">
        <is>
          <t>Bình Giao</t>
        </is>
      </c>
      <c r="E8" s="9" t="inlineStr">
        <is>
          <t>Trả vỏ</t>
        </is>
      </c>
      <c r="F8" s="9" t="inlineStr">
        <is>
          <t>Bình Giao</t>
        </is>
      </c>
      <c r="G8" s="9" t="inlineStr">
        <is>
          <t>Trả vỏ</t>
        </is>
      </c>
      <c r="H8" s="9" t="inlineStr">
        <is>
          <t>Gas giao</t>
        </is>
      </c>
      <c r="I8" s="9" t="inlineStr">
        <is>
          <t>Gas trả</t>
        </is>
      </c>
      <c r="J8" s="9" t="inlineStr">
        <is>
          <t>Gas thanh toán</t>
        </is>
      </c>
      <c r="K8" s="9" t="inlineStr">
        <is>
          <t>Đơn giá chưa VAT (vnđ/kg)</t>
        </is>
      </c>
      <c r="L8" s="9" t="inlineStr">
        <is>
          <t>Thành Tiền</t>
        </is>
      </c>
      <c r="M8" s="9" t="inlineStr">
        <is>
          <t>Ghi chú</t>
        </is>
      </c>
    </row>
    <row r="9" ht="16" customHeight="1">
      <c r="A9" s="10" t="n"/>
      <c r="B9" s="10" t="n"/>
      <c r="C9" s="10" t="n"/>
      <c r="D9" s="10" t="inlineStr">
        <is>
          <t>B45kg</t>
        </is>
      </c>
      <c r="E9" s="10" t="inlineStr">
        <is>
          <t>B45kg</t>
        </is>
      </c>
      <c r="F9" s="10" t="inlineStr">
        <is>
          <t>B12kg</t>
        </is>
      </c>
      <c r="G9" s="10" t="inlineStr">
        <is>
          <t>B12kg</t>
        </is>
      </c>
      <c r="H9" s="10" t="inlineStr">
        <is>
          <t>Kg</t>
        </is>
      </c>
      <c r="I9" s="10" t="inlineStr">
        <is>
          <t>Kg</t>
        </is>
      </c>
      <c r="J9" s="10" t="inlineStr">
        <is>
          <t>Kg</t>
        </is>
      </c>
      <c r="K9" s="10" t="n"/>
      <c r="L9" s="10" t="n"/>
      <c r="M9" s="10" t="n"/>
    </row>
    <row r="10" ht="18" customHeight="1">
      <c r="A10" s="11" t="n">
        <v>1</v>
      </c>
      <c r="B10" s="12" t="n">
        <v>46154</v>
      </c>
      <c r="C10" s="13" t="inlineStr">
        <is>
          <t>KOLONG3</t>
        </is>
      </c>
      <c r="D10" s="14" t="n">
        <v>6</v>
      </c>
      <c r="E10" s="14" t="n">
        <v>6</v>
      </c>
      <c r="F10" s="14" t="n">
        <v>0</v>
      </c>
      <c r="G10" s="14" t="n">
        <v>0</v>
      </c>
      <c r="H10" s="14">
        <f>D10*45+F10*12</f>
        <v/>
      </c>
      <c r="I10" s="14" t="n">
        <v>30.5</v>
      </c>
      <c r="J10" s="14">
        <f>H10-I10</f>
        <v/>
      </c>
      <c r="K10" s="15" t="n">
        <v>45769</v>
      </c>
      <c r="L10" s="15">
        <f>K10*J10</f>
        <v/>
      </c>
      <c r="M10" s="16" t="n"/>
    </row>
    <row r="11" ht="18" customHeight="1">
      <c r="A11" s="17" t="inlineStr">
        <is>
          <t>TỔNG</t>
        </is>
      </c>
      <c r="B11" s="18" t="n"/>
      <c r="C11" s="18" t="n"/>
      <c r="D11" s="18">
        <f>SUM(D10:D10)</f>
        <v/>
      </c>
      <c r="E11" s="18">
        <f>SUM(E10:E10)</f>
        <v/>
      </c>
      <c r="F11" s="18">
        <f>SUM(F10:F10)</f>
        <v/>
      </c>
      <c r="G11" s="18">
        <f>SUM(G10:G10)</f>
        <v/>
      </c>
      <c r="H11" s="18">
        <f>SUM(H10:H10)</f>
        <v/>
      </c>
      <c r="I11" s="18">
        <f>SUM(I10:I10)</f>
        <v/>
      </c>
      <c r="J11" s="18">
        <f>SUM(J10:J10)</f>
        <v/>
      </c>
      <c r="K11" s="18" t="n"/>
      <c r="L11" s="19">
        <f>SUM(L10:L10)</f>
        <v/>
      </c>
      <c r="M11" s="18" t="n"/>
    </row>
    <row r="12" ht="18" customHeight="1">
      <c r="A12" s="20" t="inlineStr">
        <is>
          <t>Thuế GTGT (8%)</t>
        </is>
      </c>
      <c r="L12" s="21">
        <f>L11*0.08</f>
        <v/>
      </c>
    </row>
    <row r="13" ht="18" customHeight="1">
      <c r="A13" s="20" t="inlineStr">
        <is>
          <t>Tổng tiền hàng (bao gồm GTGT 8%) là:</t>
        </is>
      </c>
      <c r="L13" s="21">
        <f>L11+L12</f>
        <v/>
      </c>
    </row>
    <row r="14" ht="18" customHeight="1">
      <c r="A14" s="8">
        <f>"Tổng số tiền nợ tính từ "&amp;TEXT($P$1,"DD/MM/YYYY")&amp;" đến "&amp;TEXT($P$2,"DD/MM/YYYY")</f>
        <v/>
      </c>
      <c r="L14" s="21">
        <f>L13</f>
        <v/>
      </c>
    </row>
    <row r="16" ht="18" customHeight="1">
      <c r="J16" s="22">
        <f>"TP Hồ Chí Minh, Ngày "&amp;TEXT($P$2,"DD")&amp;" tháng "&amp;TEXT($P$2,"MM")&amp;" năm "&amp;TEXT($P$2,"YYYY")</f>
        <v/>
      </c>
    </row>
    <row r="17" ht="18" customHeight="1">
      <c r="A17" s="23" t="inlineStr">
        <is>
          <t>Xác nhận của khách hàng</t>
        </is>
      </c>
      <c r="J17" s="23" t="inlineStr">
        <is>
          <t>Người lập</t>
        </is>
      </c>
    </row>
  </sheetData>
  <mergeCells count="14">
    <mergeCell ref="A17:D17"/>
    <mergeCell ref="O3:P3"/>
    <mergeCell ref="A3:N3"/>
    <mergeCell ref="A6:N6"/>
    <mergeCell ref="A12:K12"/>
    <mergeCell ref="A4:N4"/>
    <mergeCell ref="J17:M17"/>
    <mergeCell ref="A2:N2"/>
    <mergeCell ref="A7:N7"/>
    <mergeCell ref="A14:K14"/>
    <mergeCell ref="J16:M16"/>
    <mergeCell ref="A13:K13"/>
    <mergeCell ref="A5:N5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20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  <col width="10" customWidth="1" min="9" max="9"/>
    <col width="13" customWidth="1" min="10" max="10"/>
    <col width="16" customWidth="1" min="11" max="11"/>
    <col width="16" customWidth="1" min="12" max="12"/>
    <col width="14" customWidth="1" min="13" max="13"/>
  </cols>
  <sheetData>
    <row r="1" ht="30" customHeight="1">
      <c r="A1" s="1" t="inlineStr">
        <is>
          <t>CÔNG TY TNHH THƯƠNG MẠI DỊCH VỤ THÀNH TÍN LBG
115/22/60 BIS Đường Nguyễn Du, Phường 7, Quận Bình Thạnh, TP HCM</t>
        </is>
      </c>
      <c r="O1" s="2" t="inlineStr">
        <is>
          <t>Từ ngày:</t>
        </is>
      </c>
      <c r="P1" s="3" t="n">
        <v>46138</v>
      </c>
    </row>
    <row r="2" ht="22" customHeight="1">
      <c r="A2" s="4" t="inlineStr">
        <is>
          <t>BIÊN BẢN ĐỐI CHIẾU CÔNG NỢ</t>
        </is>
      </c>
      <c r="O2" s="2" t="inlineStr">
        <is>
          <t>Đến ngày:</t>
        </is>
      </c>
      <c r="P2" s="3" t="n">
        <v>46167</v>
      </c>
    </row>
    <row r="3" ht="18" customHeight="1">
      <c r="A3" s="5">
        <f>TEXT($P$1,"DD/MM/YYYY")&amp;" - "&amp;TEXT($P$2,"DD/MM/YYYY")</f>
        <v/>
      </c>
      <c r="O3" s="6" t="inlineStr">
        <is>
          <t>(Chỉ sửa 2 ô vàng)</t>
        </is>
      </c>
    </row>
    <row r="4" ht="42" customHeight="1">
      <c r="A4" s="7" t="inlineStr">
        <is>
          <t>KHÁCH HÀNG: CÔNG TY TNHH E VIET FOOD SOLUTION
ĐỊA CHỈ: Lô X5, Cụm công nghiệp Nhơn Trạch 2, Đồng Nai
MST:</t>
        </is>
      </c>
    </row>
    <row r="5" ht="16" customHeight="1">
      <c r="A5" s="8" t="inlineStr">
        <is>
          <t>Hai bên thống nhất số lượng bên B mua của bên A như sau:</t>
        </is>
      </c>
    </row>
    <row r="6" ht="16" customHeight="1">
      <c r="A6" s="8">
        <f>"1. Thời gian giao nhận: Từ "&amp;TEXT($P$1,"DD/MM/YYYY")&amp;" đến "&amp;TEXT($P$2,"DD/MM/YYYY")</f>
        <v/>
      </c>
    </row>
    <row r="7" ht="16" customHeight="1">
      <c r="A7" s="8" t="inlineStr">
        <is>
          <t>2. Khối lượng hàng hóa theo bảng kê chi tiết:</t>
        </is>
      </c>
    </row>
    <row r="8" ht="32" customHeight="1">
      <c r="A8" s="9" t="inlineStr">
        <is>
          <t>STT</t>
        </is>
      </c>
      <c r="B8" s="9" t="inlineStr">
        <is>
          <t>Ngày giao</t>
        </is>
      </c>
      <c r="C8" s="9" t="inlineStr">
        <is>
          <t>Nội Dung</t>
        </is>
      </c>
      <c r="D8" s="9" t="inlineStr">
        <is>
          <t>Bình Giao</t>
        </is>
      </c>
      <c r="E8" s="9" t="inlineStr">
        <is>
          <t>Trả vỏ</t>
        </is>
      </c>
      <c r="F8" s="9" t="inlineStr">
        <is>
          <t>Bình Giao</t>
        </is>
      </c>
      <c r="G8" s="9" t="inlineStr">
        <is>
          <t>Trả vỏ</t>
        </is>
      </c>
      <c r="H8" s="9" t="inlineStr">
        <is>
          <t>Gas giao</t>
        </is>
      </c>
      <c r="I8" s="9" t="inlineStr">
        <is>
          <t>Gas trả</t>
        </is>
      </c>
      <c r="J8" s="9" t="inlineStr">
        <is>
          <t>Gas thanh toán</t>
        </is>
      </c>
      <c r="K8" s="9" t="inlineStr">
        <is>
          <t>Đơn giá chưa VAT (vnđ/kg)</t>
        </is>
      </c>
      <c r="L8" s="9" t="inlineStr">
        <is>
          <t>Thành Tiền</t>
        </is>
      </c>
      <c r="M8" s="9" t="inlineStr">
        <is>
          <t>Ghi chú</t>
        </is>
      </c>
    </row>
    <row r="9" ht="16" customHeight="1">
      <c r="A9" s="10" t="n"/>
      <c r="B9" s="10" t="n"/>
      <c r="C9" s="10" t="n"/>
      <c r="D9" s="10" t="inlineStr">
        <is>
          <t>B45kg</t>
        </is>
      </c>
      <c r="E9" s="10" t="inlineStr">
        <is>
          <t>B45kg</t>
        </is>
      </c>
      <c r="F9" s="10" t="inlineStr">
        <is>
          <t>B12kg</t>
        </is>
      </c>
      <c r="G9" s="10" t="inlineStr">
        <is>
          <t>B12kg</t>
        </is>
      </c>
      <c r="H9" s="10" t="inlineStr">
        <is>
          <t>Kg</t>
        </is>
      </c>
      <c r="I9" s="10" t="inlineStr">
        <is>
          <t>Kg</t>
        </is>
      </c>
      <c r="J9" s="10" t="inlineStr">
        <is>
          <t>Kg</t>
        </is>
      </c>
      <c r="K9" s="10" t="n"/>
      <c r="L9" s="10" t="n"/>
      <c r="M9" s="10" t="n"/>
    </row>
    <row r="10" ht="18" customHeight="1">
      <c r="A10" s="11" t="n">
        <v>1</v>
      </c>
      <c r="B10" s="12" t="inlineStr">
        <is>
          <t>23/5/2026</t>
        </is>
      </c>
      <c r="C10" s="13" t="inlineStr">
        <is>
          <t>CSW</t>
        </is>
      </c>
      <c r="D10" s="14" t="n">
        <v>5</v>
      </c>
      <c r="E10" s="14" t="n">
        <v>5</v>
      </c>
      <c r="F10" s="14" t="n">
        <v>0</v>
      </c>
      <c r="G10" s="14" t="n">
        <v>0</v>
      </c>
      <c r="H10" s="14">
        <f>D10*45+F10*12</f>
        <v/>
      </c>
      <c r="I10" s="14" t="n">
        <v>3.4</v>
      </c>
      <c r="J10" s="14">
        <f>H10-I10</f>
        <v/>
      </c>
      <c r="K10" s="15" t="n">
        <v>45769</v>
      </c>
      <c r="L10" s="15">
        <f>K10*J10</f>
        <v/>
      </c>
      <c r="M10" s="16" t="n"/>
    </row>
    <row r="11" ht="18" customHeight="1">
      <c r="A11" s="17" t="inlineStr">
        <is>
          <t>TỔNG</t>
        </is>
      </c>
      <c r="B11" s="18" t="n"/>
      <c r="C11" s="18" t="n"/>
      <c r="D11" s="18">
        <f>SUM(D10:D10)</f>
        <v/>
      </c>
      <c r="E11" s="18">
        <f>SUM(E10:E10)</f>
        <v/>
      </c>
      <c r="F11" s="18">
        <f>SUM(F10:F10)</f>
        <v/>
      </c>
      <c r="G11" s="18">
        <f>SUM(G10:G10)</f>
        <v/>
      </c>
      <c r="H11" s="18">
        <f>SUM(H10:H10)</f>
        <v/>
      </c>
      <c r="I11" s="18">
        <f>SUM(I10:I10)</f>
        <v/>
      </c>
      <c r="J11" s="18">
        <f>SUM(J10:J10)</f>
        <v/>
      </c>
      <c r="K11" s="18" t="n"/>
      <c r="L11" s="19">
        <f>SUM(L10:L10)</f>
        <v/>
      </c>
      <c r="M11" s="18" t="n"/>
    </row>
    <row r="12" ht="18" customHeight="1">
      <c r="A12" s="20" t="inlineStr">
        <is>
          <t>Thuế GTGT (8%)</t>
        </is>
      </c>
      <c r="L12" s="21">
        <f>L11*0.08</f>
        <v/>
      </c>
    </row>
    <row r="13" ht="18" customHeight="1">
      <c r="A13" s="20" t="inlineStr">
        <is>
          <t>Tổng tiền hàng (bao gồm GTGT 8%) là:</t>
        </is>
      </c>
      <c r="L13" s="21">
        <f>L11+L12</f>
        <v/>
      </c>
    </row>
    <row r="14" ht="18" customHeight="1">
      <c r="A14" s="8">
        <f>"Tổng số tiền nợ tính từ "&amp;TEXT($P$1,"DD/MM/YYYY")&amp;" đến "&amp;TEXT($P$2,"DD/MM/YYYY")</f>
        <v/>
      </c>
      <c r="L14" s="21">
        <f>L13</f>
        <v/>
      </c>
    </row>
    <row r="16" ht="18" customHeight="1">
      <c r="J16" s="22">
        <f>"TP Hồ Chí Minh, Ngày "&amp;TEXT($P$2,"DD")&amp;" tháng "&amp;TEXT($P$2,"MM")&amp;" năm "&amp;TEXT($P$2,"YYYY")</f>
        <v/>
      </c>
    </row>
    <row r="17" ht="18" customHeight="1">
      <c r="A17" s="23" t="inlineStr">
        <is>
          <t>Xác nhận của khách hàng</t>
        </is>
      </c>
      <c r="J17" s="23" t="inlineStr">
        <is>
          <t>Người lập</t>
        </is>
      </c>
    </row>
  </sheetData>
  <mergeCells count="14">
    <mergeCell ref="A17:D17"/>
    <mergeCell ref="O3:P3"/>
    <mergeCell ref="A3:N3"/>
    <mergeCell ref="A6:N6"/>
    <mergeCell ref="A12:K12"/>
    <mergeCell ref="A4:N4"/>
    <mergeCell ref="J17:M17"/>
    <mergeCell ref="A2:N2"/>
    <mergeCell ref="A7:N7"/>
    <mergeCell ref="A14:K14"/>
    <mergeCell ref="J16:M16"/>
    <mergeCell ref="A13:K13"/>
    <mergeCell ref="A5:N5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20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  <col width="10" customWidth="1" min="9" max="9"/>
    <col width="13" customWidth="1" min="10" max="10"/>
    <col width="16" customWidth="1" min="11" max="11"/>
    <col width="16" customWidth="1" min="12" max="12"/>
    <col width="14" customWidth="1" min="13" max="13"/>
  </cols>
  <sheetData>
    <row r="1" ht="30" customHeight="1">
      <c r="A1" s="1" t="inlineStr">
        <is>
          <t>CÔNG TY TNHH THƯƠNG MẠI DỊCH VỤ THÀNH TÍN LBG
115/22/60 BIS Đường Nguyễn Du, Phường 7, Quận Bình Thạnh, TP HCM</t>
        </is>
      </c>
      <c r="O1" s="2" t="inlineStr">
        <is>
          <t>Từ ngày:</t>
        </is>
      </c>
      <c r="P1" s="3" t="n">
        <v>46138</v>
      </c>
    </row>
    <row r="2" ht="22" customHeight="1">
      <c r="A2" s="4" t="inlineStr">
        <is>
          <t>BIÊN BẢN ĐỐI CHIẾU CÔNG NỢ</t>
        </is>
      </c>
      <c r="O2" s="2" t="inlineStr">
        <is>
          <t>Đến ngày:</t>
        </is>
      </c>
      <c r="P2" s="3" t="n">
        <v>46167</v>
      </c>
    </row>
    <row r="3" ht="18" customHeight="1">
      <c r="A3" s="5">
        <f>TEXT($P$1,"DD/MM/YYYY")&amp;" - "&amp;TEXT($P$2,"DD/MM/YYYY")</f>
        <v/>
      </c>
      <c r="O3" s="6" t="inlineStr">
        <is>
          <t>(Chỉ sửa 2 ô vàng)</t>
        </is>
      </c>
    </row>
    <row r="4" ht="42" customHeight="1">
      <c r="A4" s="7" t="inlineStr">
        <is>
          <t>KHÁCH HÀNG: CÔNG TY TNHH E VIET FOOD SOLUTION
ĐỊA CHỈ: Lô X5, Cụm công nghiệp Nhơn Trạch 2, Đồng Nai
MST:</t>
        </is>
      </c>
    </row>
    <row r="5" ht="16" customHeight="1">
      <c r="A5" s="8" t="inlineStr">
        <is>
          <t>Hai bên thống nhất số lượng bên B mua của bên A như sau:</t>
        </is>
      </c>
    </row>
    <row r="6" ht="16" customHeight="1">
      <c r="A6" s="8">
        <f>"1. Thời gian giao nhận: Từ "&amp;TEXT($P$1,"DD/MM/YYYY")&amp;" đến "&amp;TEXT($P$2,"DD/MM/YYYY")</f>
        <v/>
      </c>
    </row>
    <row r="7" ht="16" customHeight="1">
      <c r="A7" s="8" t="inlineStr">
        <is>
          <t>2. Khối lượng hàng hóa theo bảng kê chi tiết:</t>
        </is>
      </c>
    </row>
    <row r="8" ht="32" customHeight="1">
      <c r="A8" s="9" t="inlineStr">
        <is>
          <t>STT</t>
        </is>
      </c>
      <c r="B8" s="9" t="inlineStr">
        <is>
          <t>Ngày giao</t>
        </is>
      </c>
      <c r="C8" s="9" t="inlineStr">
        <is>
          <t>Nội Dung</t>
        </is>
      </c>
      <c r="D8" s="9" t="inlineStr">
        <is>
          <t>Bình Giao</t>
        </is>
      </c>
      <c r="E8" s="9" t="inlineStr">
        <is>
          <t>Trả vỏ</t>
        </is>
      </c>
      <c r="F8" s="9" t="inlineStr">
        <is>
          <t>Bình Giao</t>
        </is>
      </c>
      <c r="G8" s="9" t="inlineStr">
        <is>
          <t>Trả vỏ</t>
        </is>
      </c>
      <c r="H8" s="9" t="inlineStr">
        <is>
          <t>Gas giao</t>
        </is>
      </c>
      <c r="I8" s="9" t="inlineStr">
        <is>
          <t>Gas trả</t>
        </is>
      </c>
      <c r="J8" s="9" t="inlineStr">
        <is>
          <t>Gas thanh toán</t>
        </is>
      </c>
      <c r="K8" s="9" t="inlineStr">
        <is>
          <t>Đơn giá chưa VAT (vnđ/kg)</t>
        </is>
      </c>
      <c r="L8" s="9" t="inlineStr">
        <is>
          <t>Thành Tiền</t>
        </is>
      </c>
      <c r="M8" s="9" t="inlineStr">
        <is>
          <t>Ghi chú</t>
        </is>
      </c>
    </row>
    <row r="9" ht="16" customHeight="1">
      <c r="A9" s="10" t="n"/>
      <c r="B9" s="10" t="n"/>
      <c r="C9" s="10" t="n"/>
      <c r="D9" s="10" t="inlineStr">
        <is>
          <t>B45kg</t>
        </is>
      </c>
      <c r="E9" s="10" t="inlineStr">
        <is>
          <t>B45kg</t>
        </is>
      </c>
      <c r="F9" s="10" t="inlineStr">
        <is>
          <t>B12kg</t>
        </is>
      </c>
      <c r="G9" s="10" t="inlineStr">
        <is>
          <t>B12kg</t>
        </is>
      </c>
      <c r="H9" s="10" t="inlineStr">
        <is>
          <t>Kg</t>
        </is>
      </c>
      <c r="I9" s="10" t="inlineStr">
        <is>
          <t>Kg</t>
        </is>
      </c>
      <c r="J9" s="10" t="inlineStr">
        <is>
          <t>Kg</t>
        </is>
      </c>
      <c r="K9" s="10" t="n"/>
      <c r="L9" s="10" t="n"/>
      <c r="M9" s="10" t="n"/>
    </row>
    <row r="10" ht="18" customHeight="1">
      <c r="A10" s="11" t="n">
        <v>1</v>
      </c>
      <c r="B10" s="12" t="n">
        <v>46149</v>
      </c>
      <c r="C10" s="13" t="inlineStr">
        <is>
          <t>CSB</t>
        </is>
      </c>
      <c r="D10" s="14" t="n">
        <v>4</v>
      </c>
      <c r="E10" s="14" t="n">
        <v>4</v>
      </c>
      <c r="F10" s="14" t="n">
        <v>0</v>
      </c>
      <c r="G10" s="14" t="n">
        <v>0</v>
      </c>
      <c r="H10" s="14">
        <f>D10*45+F10*12</f>
        <v/>
      </c>
      <c r="I10" s="14" t="n">
        <v>0</v>
      </c>
      <c r="J10" s="14">
        <f>H10-I10</f>
        <v/>
      </c>
      <c r="K10" s="15" t="n">
        <v>45769</v>
      </c>
      <c r="L10" s="15">
        <f>K10*J10</f>
        <v/>
      </c>
      <c r="M10" s="16" t="n"/>
    </row>
    <row r="11" ht="18" customHeight="1">
      <c r="A11" s="17" t="inlineStr">
        <is>
          <t>TỔNG</t>
        </is>
      </c>
      <c r="B11" s="18" t="n"/>
      <c r="C11" s="18" t="n"/>
      <c r="D11" s="18">
        <f>SUM(D10:D10)</f>
        <v/>
      </c>
      <c r="E11" s="18">
        <f>SUM(E10:E10)</f>
        <v/>
      </c>
      <c r="F11" s="18">
        <f>SUM(F10:F10)</f>
        <v/>
      </c>
      <c r="G11" s="18">
        <f>SUM(G10:G10)</f>
        <v/>
      </c>
      <c r="H11" s="18">
        <f>SUM(H10:H10)</f>
        <v/>
      </c>
      <c r="I11" s="18">
        <f>SUM(I10:I10)</f>
        <v/>
      </c>
      <c r="J11" s="18">
        <f>SUM(J10:J10)</f>
        <v/>
      </c>
      <c r="K11" s="18" t="n"/>
      <c r="L11" s="19">
        <f>SUM(L10:L10)</f>
        <v/>
      </c>
      <c r="M11" s="18" t="n"/>
    </row>
    <row r="12" ht="18" customHeight="1">
      <c r="A12" s="20" t="inlineStr">
        <is>
          <t>Thuế GTGT (8%)</t>
        </is>
      </c>
      <c r="L12" s="21">
        <f>L11*0.08</f>
        <v/>
      </c>
    </row>
    <row r="13" ht="18" customHeight="1">
      <c r="A13" s="20" t="inlineStr">
        <is>
          <t>Tổng tiền hàng (bao gồm GTGT 8%) là:</t>
        </is>
      </c>
      <c r="L13" s="21">
        <f>L11+L12</f>
        <v/>
      </c>
    </row>
    <row r="14" ht="18" customHeight="1">
      <c r="A14" s="8">
        <f>"Tổng số tiền nợ tính từ "&amp;TEXT($P$1,"DD/MM/YYYY")&amp;" đến "&amp;TEXT($P$2,"DD/MM/YYYY")</f>
        <v/>
      </c>
      <c r="L14" s="21">
        <f>L13</f>
        <v/>
      </c>
    </row>
    <row r="16" ht="18" customHeight="1">
      <c r="J16" s="22">
        <f>"TP Hồ Chí Minh, Ngày "&amp;TEXT($P$2,"DD")&amp;" tháng "&amp;TEXT($P$2,"MM")&amp;" năm "&amp;TEXT($P$2,"YYYY")</f>
        <v/>
      </c>
    </row>
    <row r="17" ht="18" customHeight="1">
      <c r="A17" s="23" t="inlineStr">
        <is>
          <t>Xác nhận của khách hàng</t>
        </is>
      </c>
      <c r="J17" s="23" t="inlineStr">
        <is>
          <t>Người lập</t>
        </is>
      </c>
    </row>
  </sheetData>
  <mergeCells count="14">
    <mergeCell ref="A17:D17"/>
    <mergeCell ref="O3:P3"/>
    <mergeCell ref="A3:N3"/>
    <mergeCell ref="A6:N6"/>
    <mergeCell ref="A12:K12"/>
    <mergeCell ref="A4:N4"/>
    <mergeCell ref="J17:M17"/>
    <mergeCell ref="A2:N2"/>
    <mergeCell ref="A7:N7"/>
    <mergeCell ref="A14:K14"/>
    <mergeCell ref="J16:M16"/>
    <mergeCell ref="A13:K13"/>
    <mergeCell ref="A5:N5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20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  <col width="10" customWidth="1" min="9" max="9"/>
    <col width="13" customWidth="1" min="10" max="10"/>
    <col width="16" customWidth="1" min="11" max="11"/>
    <col width="16" customWidth="1" min="12" max="12"/>
    <col width="14" customWidth="1" min="13" max="13"/>
  </cols>
  <sheetData>
    <row r="1" ht="30" customHeight="1">
      <c r="A1" s="1" t="inlineStr">
        <is>
          <t>CÔNG TY TNHH THƯƠNG MẠI DỊCH VỤ THÀNH TÍN LBG
115/22/60 BIS Đường Nguyễn Du, Phường 7, Quận Bình Thạnh, TP HCM</t>
        </is>
      </c>
      <c r="O1" s="2" t="inlineStr">
        <is>
          <t>Từ ngày:</t>
        </is>
      </c>
      <c r="P1" s="3" t="n">
        <v>46138</v>
      </c>
    </row>
    <row r="2" ht="22" customHeight="1">
      <c r="A2" s="4" t="inlineStr">
        <is>
          <t>BIÊN BẢN ĐỐI CHIẾU CÔNG NỢ</t>
        </is>
      </c>
      <c r="O2" s="2" t="inlineStr">
        <is>
          <t>Đến ngày:</t>
        </is>
      </c>
      <c r="P2" s="3" t="n">
        <v>46167</v>
      </c>
    </row>
    <row r="3" ht="18" customHeight="1">
      <c r="A3" s="5">
        <f>TEXT($P$1,"DD/MM/YYYY")&amp;" - "&amp;TEXT($P$2,"DD/MM/YYYY")</f>
        <v/>
      </c>
      <c r="O3" s="6" t="inlineStr">
        <is>
          <t>(Chỉ sửa 2 ô vàng)</t>
        </is>
      </c>
    </row>
    <row r="4" ht="42" customHeight="1">
      <c r="A4" s="7" t="inlineStr">
        <is>
          <t>KHÁCH HÀNG: CÔNG TY TNHH E VIET FOOD SOLUTION
ĐỊA CHỈ: Lô X5, Cụm công nghiệp Nhơn Trạch 2, Đồng Nai
MST:</t>
        </is>
      </c>
    </row>
    <row r="5" ht="16" customHeight="1">
      <c r="A5" s="8" t="inlineStr">
        <is>
          <t>Hai bên thống nhất số lượng bên B mua của bên A như sau:</t>
        </is>
      </c>
    </row>
    <row r="6" ht="16" customHeight="1">
      <c r="A6" s="8">
        <f>"1. Thời gian giao nhận: Từ "&amp;TEXT($P$1,"DD/MM/YYYY")&amp;" đến "&amp;TEXT($P$2,"DD/MM/YYYY")</f>
        <v/>
      </c>
    </row>
    <row r="7" ht="16" customHeight="1">
      <c r="A7" s="8" t="inlineStr">
        <is>
          <t>2. Khối lượng hàng hóa theo bảng kê chi tiết:</t>
        </is>
      </c>
    </row>
    <row r="8" ht="32" customHeight="1">
      <c r="A8" s="9" t="inlineStr">
        <is>
          <t>STT</t>
        </is>
      </c>
      <c r="B8" s="9" t="inlineStr">
        <is>
          <t>Ngày giao</t>
        </is>
      </c>
      <c r="C8" s="9" t="inlineStr">
        <is>
          <t>Nội Dung</t>
        </is>
      </c>
      <c r="D8" s="9" t="inlineStr">
        <is>
          <t>Bình Giao</t>
        </is>
      </c>
      <c r="E8" s="9" t="inlineStr">
        <is>
          <t>Trả vỏ</t>
        </is>
      </c>
      <c r="F8" s="9" t="inlineStr">
        <is>
          <t>Bình Giao</t>
        </is>
      </c>
      <c r="G8" s="9" t="inlineStr">
        <is>
          <t>Trả vỏ</t>
        </is>
      </c>
      <c r="H8" s="9" t="inlineStr">
        <is>
          <t>Gas giao</t>
        </is>
      </c>
      <c r="I8" s="9" t="inlineStr">
        <is>
          <t>Gas trả</t>
        </is>
      </c>
      <c r="J8" s="9" t="inlineStr">
        <is>
          <t>Gas thanh toán</t>
        </is>
      </c>
      <c r="K8" s="9" t="inlineStr">
        <is>
          <t>Đơn giá chưa VAT (vnđ/kg)</t>
        </is>
      </c>
      <c r="L8" s="9" t="inlineStr">
        <is>
          <t>Thành Tiền</t>
        </is>
      </c>
      <c r="M8" s="9" t="inlineStr">
        <is>
          <t>Ghi chú</t>
        </is>
      </c>
    </row>
    <row r="9" ht="16" customHeight="1">
      <c r="A9" s="10" t="n"/>
      <c r="B9" s="10" t="n"/>
      <c r="C9" s="10" t="n"/>
      <c r="D9" s="10" t="inlineStr">
        <is>
          <t>B45kg</t>
        </is>
      </c>
      <c r="E9" s="10" t="inlineStr">
        <is>
          <t>B45kg</t>
        </is>
      </c>
      <c r="F9" s="10" t="inlineStr">
        <is>
          <t>B12kg</t>
        </is>
      </c>
      <c r="G9" s="10" t="inlineStr">
        <is>
          <t>B12kg</t>
        </is>
      </c>
      <c r="H9" s="10" t="inlineStr">
        <is>
          <t>Kg</t>
        </is>
      </c>
      <c r="I9" s="10" t="inlineStr">
        <is>
          <t>Kg</t>
        </is>
      </c>
      <c r="J9" s="10" t="inlineStr">
        <is>
          <t>Kg</t>
        </is>
      </c>
      <c r="K9" s="10" t="n"/>
      <c r="L9" s="10" t="n"/>
      <c r="M9" s="10" t="n"/>
    </row>
    <row r="10" ht="18" customHeight="1">
      <c r="A10" s="11" t="n">
        <v>1</v>
      </c>
      <c r="B10" s="12" t="inlineStr">
        <is>
          <t>28/4/2026</t>
        </is>
      </c>
      <c r="C10" s="13" t="inlineStr">
        <is>
          <t>YUJIN LA</t>
        </is>
      </c>
      <c r="D10" s="14" t="n">
        <v>5</v>
      </c>
      <c r="E10" s="14" t="n">
        <v>5</v>
      </c>
      <c r="F10" s="14" t="n">
        <v>0</v>
      </c>
      <c r="G10" s="14" t="n">
        <v>0</v>
      </c>
      <c r="H10" s="14">
        <f>D10*45+F10*12</f>
        <v/>
      </c>
      <c r="I10" s="14" t="n">
        <v>4.8</v>
      </c>
      <c r="J10" s="14">
        <f>H10-I10</f>
        <v/>
      </c>
      <c r="K10" s="15" t="n">
        <v>45769</v>
      </c>
      <c r="L10" s="15">
        <f>K10*J10</f>
        <v/>
      </c>
      <c r="M10" s="16" t="n"/>
    </row>
    <row r="11" ht="18" customHeight="1">
      <c r="A11" s="17" t="inlineStr">
        <is>
          <t>TỔNG</t>
        </is>
      </c>
      <c r="B11" s="18" t="n"/>
      <c r="C11" s="18" t="n"/>
      <c r="D11" s="18">
        <f>SUM(D10:D10)</f>
        <v/>
      </c>
      <c r="E11" s="18">
        <f>SUM(E10:E10)</f>
        <v/>
      </c>
      <c r="F11" s="18">
        <f>SUM(F10:F10)</f>
        <v/>
      </c>
      <c r="G11" s="18">
        <f>SUM(G10:G10)</f>
        <v/>
      </c>
      <c r="H11" s="18">
        <f>SUM(H10:H10)</f>
        <v/>
      </c>
      <c r="I11" s="18">
        <f>SUM(I10:I10)</f>
        <v/>
      </c>
      <c r="J11" s="18">
        <f>SUM(J10:J10)</f>
        <v/>
      </c>
      <c r="K11" s="18" t="n"/>
      <c r="L11" s="19">
        <f>SUM(L10:L10)</f>
        <v/>
      </c>
      <c r="M11" s="18" t="n"/>
    </row>
    <row r="12" ht="18" customHeight="1">
      <c r="A12" s="20" t="inlineStr">
        <is>
          <t>Thuế GTGT (8%)</t>
        </is>
      </c>
      <c r="L12" s="21">
        <f>L11*0.08</f>
        <v/>
      </c>
    </row>
    <row r="13" ht="18" customHeight="1">
      <c r="A13" s="20" t="inlineStr">
        <is>
          <t>Tổng tiền hàng (bao gồm GTGT 8%) là:</t>
        </is>
      </c>
      <c r="L13" s="21">
        <f>L11+L12</f>
        <v/>
      </c>
    </row>
    <row r="14" ht="18" customHeight="1">
      <c r="A14" s="8">
        <f>"Tổng số tiền nợ tính từ "&amp;TEXT($P$1,"DD/MM/YYYY")&amp;" đến "&amp;TEXT($P$2,"DD/MM/YYYY")</f>
        <v/>
      </c>
      <c r="L14" s="21">
        <f>L13</f>
        <v/>
      </c>
    </row>
    <row r="16" ht="18" customHeight="1">
      <c r="J16" s="22">
        <f>"TP Hồ Chí Minh, Ngày "&amp;TEXT($P$2,"DD")&amp;" tháng "&amp;TEXT($P$2,"MM")&amp;" năm "&amp;TEXT($P$2,"YYYY")</f>
        <v/>
      </c>
    </row>
    <row r="17" ht="18" customHeight="1">
      <c r="A17" s="23" t="inlineStr">
        <is>
          <t>Xác nhận của khách hàng</t>
        </is>
      </c>
      <c r="J17" s="23" t="inlineStr">
        <is>
          <t>Người lập</t>
        </is>
      </c>
    </row>
  </sheetData>
  <mergeCells count="14">
    <mergeCell ref="A17:D17"/>
    <mergeCell ref="O3:P3"/>
    <mergeCell ref="A3:N3"/>
    <mergeCell ref="A6:N6"/>
    <mergeCell ref="A12:K12"/>
    <mergeCell ref="A4:N4"/>
    <mergeCell ref="J17:M17"/>
    <mergeCell ref="A2:N2"/>
    <mergeCell ref="A7:N7"/>
    <mergeCell ref="A14:K14"/>
    <mergeCell ref="J16:M16"/>
    <mergeCell ref="A13:K13"/>
    <mergeCell ref="A5:N5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20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  <col width="10" customWidth="1" min="9" max="9"/>
    <col width="13" customWidth="1" min="10" max="10"/>
    <col width="16" customWidth="1" min="11" max="11"/>
    <col width="16" customWidth="1" min="12" max="12"/>
    <col width="14" customWidth="1" min="13" max="13"/>
  </cols>
  <sheetData>
    <row r="1" ht="30" customHeight="1">
      <c r="A1" s="1" t="inlineStr">
        <is>
          <t>CÔNG TY TNHH THƯƠNG MẠI DỊCH VỤ THÀNH TÍN LBG
115/22/60 BIS Đường Nguyễn Du, Phường 7, Quận Bình Thạnh, TP HCM</t>
        </is>
      </c>
      <c r="O1" s="2" t="inlineStr">
        <is>
          <t>Từ ngày:</t>
        </is>
      </c>
      <c r="P1" s="3" t="n">
        <v>46138</v>
      </c>
    </row>
    <row r="2" ht="22" customHeight="1">
      <c r="A2" s="4" t="inlineStr">
        <is>
          <t>BIÊN BẢN ĐỐI CHIẾU CÔNG NỢ</t>
        </is>
      </c>
      <c r="O2" s="2" t="inlineStr">
        <is>
          <t>Đến ngày:</t>
        </is>
      </c>
      <c r="P2" s="3" t="n">
        <v>46167</v>
      </c>
    </row>
    <row r="3" ht="18" customHeight="1">
      <c r="A3" s="5">
        <f>TEXT($P$1,"DD/MM/YYYY")&amp;" - "&amp;TEXT($P$2,"DD/MM/YYYY")</f>
        <v/>
      </c>
      <c r="O3" s="6" t="inlineStr">
        <is>
          <t>(Chỉ sửa 2 ô vàng)</t>
        </is>
      </c>
    </row>
    <row r="4" ht="42" customHeight="1">
      <c r="A4" s="7" t="inlineStr">
        <is>
          <t>KHÁCH HÀNG: CÔNG TY TNHH E VIET FOOD SOLUTION
ĐỊA CHỈ: Lô X5, Cụm công nghiệp Nhơn Trạch 2, Đồng Nai
MST:</t>
        </is>
      </c>
    </row>
    <row r="5" ht="16" customHeight="1">
      <c r="A5" s="8" t="inlineStr">
        <is>
          <t>Hai bên thống nhất số lượng bên B mua của bên A như sau:</t>
        </is>
      </c>
    </row>
    <row r="6" ht="16" customHeight="1">
      <c r="A6" s="8">
        <f>"1. Thời gian giao nhận: Từ "&amp;TEXT($P$1,"DD/MM/YYYY")&amp;" đến "&amp;TEXT($P$2,"DD/MM/YYYY")</f>
        <v/>
      </c>
    </row>
    <row r="7" ht="16" customHeight="1">
      <c r="A7" s="8" t="inlineStr">
        <is>
          <t>2. Khối lượng hàng hóa theo bảng kê chi tiết:</t>
        </is>
      </c>
    </row>
    <row r="8" ht="32" customHeight="1">
      <c r="A8" s="9" t="inlineStr">
        <is>
          <t>STT</t>
        </is>
      </c>
      <c r="B8" s="9" t="inlineStr">
        <is>
          <t>Ngày giao</t>
        </is>
      </c>
      <c r="C8" s="9" t="inlineStr">
        <is>
          <t>Nội Dung</t>
        </is>
      </c>
      <c r="D8" s="9" t="inlineStr">
        <is>
          <t>Bình Giao</t>
        </is>
      </c>
      <c r="E8" s="9" t="inlineStr">
        <is>
          <t>Trả vỏ</t>
        </is>
      </c>
      <c r="F8" s="9" t="inlineStr">
        <is>
          <t>Bình Giao</t>
        </is>
      </c>
      <c r="G8" s="9" t="inlineStr">
        <is>
          <t>Trả vỏ</t>
        </is>
      </c>
      <c r="H8" s="9" t="inlineStr">
        <is>
          <t>Gas giao</t>
        </is>
      </c>
      <c r="I8" s="9" t="inlineStr">
        <is>
          <t>Gas trả</t>
        </is>
      </c>
      <c r="J8" s="9" t="inlineStr">
        <is>
          <t>Gas thanh toán</t>
        </is>
      </c>
      <c r="K8" s="9" t="inlineStr">
        <is>
          <t>Đơn giá chưa VAT (vnđ/kg)</t>
        </is>
      </c>
      <c r="L8" s="9" t="inlineStr">
        <is>
          <t>Thành Tiền</t>
        </is>
      </c>
      <c r="M8" s="9" t="inlineStr">
        <is>
          <t>Ghi chú</t>
        </is>
      </c>
    </row>
    <row r="9" ht="16" customHeight="1">
      <c r="A9" s="10" t="n"/>
      <c r="B9" s="10" t="n"/>
      <c r="C9" s="10" t="n"/>
      <c r="D9" s="10" t="inlineStr">
        <is>
          <t>B45kg</t>
        </is>
      </c>
      <c r="E9" s="10" t="inlineStr">
        <is>
          <t>B45kg</t>
        </is>
      </c>
      <c r="F9" s="10" t="inlineStr">
        <is>
          <t>B12kg</t>
        </is>
      </c>
      <c r="G9" s="10" t="inlineStr">
        <is>
          <t>B12kg</t>
        </is>
      </c>
      <c r="H9" s="10" t="inlineStr">
        <is>
          <t>Kg</t>
        </is>
      </c>
      <c r="I9" s="10" t="inlineStr">
        <is>
          <t>Kg</t>
        </is>
      </c>
      <c r="J9" s="10" t="inlineStr">
        <is>
          <t>Kg</t>
        </is>
      </c>
      <c r="K9" s="10" t="n"/>
      <c r="L9" s="10" t="n"/>
      <c r="M9" s="10" t="n"/>
    </row>
    <row r="10" ht="18" customHeight="1">
      <c r="A10" s="11" t="n">
        <v>1</v>
      </c>
      <c r="B10" s="12" t="n">
        <v>46148</v>
      </c>
      <c r="C10" s="13" t="inlineStr">
        <is>
          <t>INZI</t>
        </is>
      </c>
      <c r="D10" s="14" t="n">
        <v>4</v>
      </c>
      <c r="E10" s="14" t="n">
        <v>4</v>
      </c>
      <c r="F10" s="14" t="n">
        <v>1</v>
      </c>
      <c r="G10" s="14" t="n">
        <v>1</v>
      </c>
      <c r="H10" s="14">
        <f>D10*45+F10*12</f>
        <v/>
      </c>
      <c r="I10" s="14" t="n">
        <v>15.9</v>
      </c>
      <c r="J10" s="14">
        <f>H10-I10</f>
        <v/>
      </c>
      <c r="K10" s="15" t="n">
        <v>45769</v>
      </c>
      <c r="L10" s="15">
        <f>K10*J10</f>
        <v/>
      </c>
      <c r="M10" s="16" t="n"/>
    </row>
    <row r="11" ht="18" customHeight="1">
      <c r="A11" s="11" t="n">
        <v>2</v>
      </c>
      <c r="B11" s="12" t="n">
        <v>46155</v>
      </c>
      <c r="C11" s="13" t="inlineStr">
        <is>
          <t>INZI</t>
        </is>
      </c>
      <c r="D11" s="14" t="n">
        <v>2</v>
      </c>
      <c r="E11" s="14" t="n">
        <v>2</v>
      </c>
      <c r="F11" s="14" t="n">
        <v>1</v>
      </c>
      <c r="G11" s="14" t="n">
        <v>1</v>
      </c>
      <c r="H11" s="14">
        <f>D11*45+F11*12</f>
        <v/>
      </c>
      <c r="I11" s="14" t="n">
        <v>14.5</v>
      </c>
      <c r="J11" s="14">
        <f>H11-I11</f>
        <v/>
      </c>
      <c r="K11" s="15" t="n">
        <v>45769</v>
      </c>
      <c r="L11" s="15">
        <f>K11*J11</f>
        <v/>
      </c>
      <c r="M11" s="16" t="n"/>
    </row>
    <row r="12" ht="18" customHeight="1">
      <c r="A12" s="11" t="n">
        <v>3</v>
      </c>
      <c r="B12" s="12" t="n">
        <v>46163</v>
      </c>
      <c r="C12" s="13" t="inlineStr">
        <is>
          <t>INZI</t>
        </is>
      </c>
      <c r="D12" s="14" t="n">
        <v>2</v>
      </c>
      <c r="E12" s="14" t="n">
        <v>2</v>
      </c>
      <c r="F12" s="14" t="n">
        <v>1</v>
      </c>
      <c r="G12" s="14" t="n">
        <v>1</v>
      </c>
      <c r="H12" s="14">
        <f>D12*45+F12*12</f>
        <v/>
      </c>
      <c r="I12" s="14" t="n">
        <v>5</v>
      </c>
      <c r="J12" s="14">
        <f>H12-I12</f>
        <v/>
      </c>
      <c r="K12" s="15" t="n">
        <v>45769</v>
      </c>
      <c r="L12" s="15">
        <f>K12*J12</f>
        <v/>
      </c>
      <c r="M12" s="16" t="n"/>
    </row>
    <row r="13" ht="18" customHeight="1">
      <c r="A13" s="17" t="inlineStr">
        <is>
          <t>TỔNG</t>
        </is>
      </c>
      <c r="B13" s="18" t="n"/>
      <c r="C13" s="18" t="n"/>
      <c r="D13" s="18">
        <f>SUM(D10:D12)</f>
        <v/>
      </c>
      <c r="E13" s="18">
        <f>SUM(E10:E12)</f>
        <v/>
      </c>
      <c r="F13" s="18">
        <f>SUM(F10:F12)</f>
        <v/>
      </c>
      <c r="G13" s="18">
        <f>SUM(G10:G12)</f>
        <v/>
      </c>
      <c r="H13" s="18">
        <f>SUM(H10:H12)</f>
        <v/>
      </c>
      <c r="I13" s="18">
        <f>SUM(I10:I12)</f>
        <v/>
      </c>
      <c r="J13" s="18">
        <f>SUM(J10:J12)</f>
        <v/>
      </c>
      <c r="K13" s="18" t="n"/>
      <c r="L13" s="19">
        <f>SUM(L10:L12)</f>
        <v/>
      </c>
      <c r="M13" s="18" t="n"/>
    </row>
    <row r="14" ht="18" customHeight="1">
      <c r="A14" s="20" t="inlineStr">
        <is>
          <t>Thuế GTGT (8%)</t>
        </is>
      </c>
      <c r="L14" s="21">
        <f>L13*0.08</f>
        <v/>
      </c>
    </row>
    <row r="15" ht="18" customHeight="1">
      <c r="A15" s="20" t="inlineStr">
        <is>
          <t>Tổng tiền hàng (bao gồm GTGT 8%) là:</t>
        </is>
      </c>
      <c r="L15" s="21">
        <f>L13+L14</f>
        <v/>
      </c>
    </row>
    <row r="16" ht="18" customHeight="1">
      <c r="A16" s="8">
        <f>"Tổng số tiền nợ tính từ "&amp;TEXT($P$1,"DD/MM/YYYY")&amp;" đến "&amp;TEXT($P$2,"DD/MM/YYYY")</f>
        <v/>
      </c>
      <c r="L16" s="21">
        <f>L15</f>
        <v/>
      </c>
    </row>
    <row r="18" ht="18" customHeight="1">
      <c r="J18" s="22">
        <f>"TP Hồ Chí Minh, Ngày "&amp;TEXT($P$2,"DD")&amp;" tháng "&amp;TEXT($P$2,"MM")&amp;" năm "&amp;TEXT($P$2,"YYYY")</f>
        <v/>
      </c>
    </row>
    <row r="19" ht="18" customHeight="1">
      <c r="A19" s="23" t="inlineStr">
        <is>
          <t>Xác nhận của khách hàng</t>
        </is>
      </c>
      <c r="J19" s="23" t="inlineStr">
        <is>
          <t>Người lập</t>
        </is>
      </c>
    </row>
  </sheetData>
  <mergeCells count="14">
    <mergeCell ref="O3:P3"/>
    <mergeCell ref="A3:N3"/>
    <mergeCell ref="A6:N6"/>
    <mergeCell ref="A4:N4"/>
    <mergeCell ref="A15:K15"/>
    <mergeCell ref="A2:N2"/>
    <mergeCell ref="A7:N7"/>
    <mergeCell ref="A16:K16"/>
    <mergeCell ref="A14:K14"/>
    <mergeCell ref="A19:D19"/>
    <mergeCell ref="A5:N5"/>
    <mergeCell ref="J18:M18"/>
    <mergeCell ref="J19:M19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2026-05-26T02:42:48Z</dcterms:created>
  <dcterms:modified xmlns:dcterms="http://purl.org/dc/terms/" xmlns:xsi="http://www.w3.org/2001/XMLSchema-instance" xsi:type="dcterms:W3CDTF">2026-05-26T02:42:48Z</dcterms:modified>
</cp:coreProperties>
</file>