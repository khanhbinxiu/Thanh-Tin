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INPUT_GIAO_HANG" sheetId="2" r:id="rId5"/>
    <sheet state="hidden" name="BANG_GIA" sheetId="3" r:id="rId6"/>
    <sheet state="visible" name="CONG_NO_THEO_KH" sheetId="4" r:id="rId7"/>
    <sheet state="visible" name="EXPORT_DOI_CHIEU" sheetId="5" r:id="rId8"/>
    <sheet state="visible" name="Sheet1" sheetId="6" r:id="rId9"/>
  </sheets>
  <definedNames>
    <definedName hidden="1" localSheetId="1" name="_xlnm._FilterDatabase">INPUT_GIAO_HANG!$A$2:$M$122</definedName>
    <definedName hidden="1" localSheetId="3" name="_xlnm._FilterDatabase">CONG_NO_THEO_KH!$AB$2:$AC$62</definedName>
    <definedName hidden="1" localSheetId="5" name="_xlnm._FilterDatabase">Sheet1!$B$1:$V$50</definedName>
  </definedNames>
  <calcPr/>
  <pivotCaches>
    <pivotCache cacheId="0" r:id="rId10"/>
  </pivotCaches>
  <extLst>
    <ext uri="GoogleSheetsCustomDataVersion2">
      <go:sheetsCustomData xmlns:go="http://customooxmlschemas.google.com/" r:id="rId11" roundtripDataChecksum="N6JPb0xTdaFs4JmzblZANDgMfBRi32+BPrgbIvq3/W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4">
      <text>
        <t xml:space="preserve">20kg
======</t>
      </text>
    </comment>
  </commentList>
</comments>
</file>

<file path=xl/sharedStrings.xml><?xml version="1.0" encoding="utf-8"?>
<sst xmlns="http://schemas.openxmlformats.org/spreadsheetml/2006/main" count="792" uniqueCount="414">
  <si>
    <t>Ngày giao</t>
  </si>
  <si>
    <t>Sum of Thành Tiền</t>
  </si>
  <si>
    <t xml:space="preserve">Tổng số </t>
  </si>
  <si>
    <t>Tổng cộng</t>
  </si>
  <si>
    <t>Mã KH</t>
  </si>
  <si>
    <t>PIC</t>
  </si>
  <si>
    <t>Bình Giao</t>
  </si>
  <si>
    <t>Trả vỏ</t>
  </si>
  <si>
    <t>Gas giao</t>
  </si>
  <si>
    <t>Gas trả</t>
  </si>
  <si>
    <t>Gas thanh toán</t>
  </si>
  <si>
    <t>Đơn giá chưa VAT (vnđ/kg)</t>
  </si>
  <si>
    <t>Thành Tiền</t>
  </si>
  <si>
    <t>Ghi chú</t>
  </si>
  <si>
    <t>B45kg</t>
  </si>
  <si>
    <t>B12kg</t>
  </si>
  <si>
    <t>Kg</t>
  </si>
  <si>
    <t>calfvoi</t>
  </si>
  <si>
    <t>Viễn</t>
  </si>
  <si>
    <t>cty trường dương</t>
  </si>
  <si>
    <t>10 khó,trần quốc thảo</t>
  </si>
  <si>
    <t>10 khó,nguyễn văn trỗi</t>
  </si>
  <si>
    <t>10 khó,song hành</t>
  </si>
  <si>
    <t>maika,q5</t>
  </si>
  <si>
    <t>qn78,an khánh</t>
  </si>
  <si>
    <t>nhật khôi</t>
  </si>
  <si>
    <t>lw5</t>
  </si>
  <si>
    <t>lw6</t>
  </si>
  <si>
    <t>pvm</t>
  </si>
  <si>
    <t>intersnack</t>
  </si>
  <si>
    <t>x</t>
  </si>
  <si>
    <t>chị thảo</t>
  </si>
  <si>
    <t>133 hoa lan</t>
  </si>
  <si>
    <t>194 đề thám</t>
  </si>
  <si>
    <t>salim</t>
  </si>
  <si>
    <t>crm</t>
  </si>
  <si>
    <t>du thuyền</t>
  </si>
  <si>
    <t>seoul,hht</t>
  </si>
  <si>
    <t>v thu tm</t>
  </si>
  <si>
    <t>seoul,tây ninh</t>
  </si>
  <si>
    <t>seoul,q5</t>
  </si>
  <si>
    <t>hà huy tập</t>
  </si>
  <si>
    <t>mishubishi</t>
  </si>
  <si>
    <t>nguyễn thị diệu</t>
  </si>
  <si>
    <t>nh thành tín</t>
  </si>
  <si>
    <t>bùi văn ba</t>
  </si>
  <si>
    <t>seoul,q6</t>
  </si>
  <si>
    <t>bún cá</t>
  </si>
  <si>
    <t>lương văn can</t>
  </si>
  <si>
    <t>maika,q3</t>
  </si>
  <si>
    <t>thu vỏ 10 khó,trần quốc thảo</t>
  </si>
  <si>
    <t>seoul,tân bình</t>
  </si>
  <si>
    <t>bida,q6</t>
  </si>
  <si>
    <t>hưng minh tự,q6</t>
  </si>
  <si>
    <t>thu vỏ cailfvoi, 4b45 2van nước đã trừ ở crm 16/5</t>
  </si>
  <si>
    <t>thu vỏ 10 khó,nguyễn văn trỗi</t>
  </si>
  <si>
    <t>crm thực tế giao 16b45 2van</t>
  </si>
  <si>
    <t>tt tiền hàng</t>
  </si>
  <si>
    <t>crm trả 1b45 2van nước bị xì, đã trừ ở crm 16/5</t>
  </si>
  <si>
    <t>chipchip</t>
  </si>
  <si>
    <t>tân vĩnh nguyên,q7</t>
  </si>
  <si>
    <t>SP</t>
  </si>
  <si>
    <t>Nhật</t>
  </si>
  <si>
    <t>CHB 307 tên lửa</t>
  </si>
  <si>
    <t>Galaxy</t>
  </si>
  <si>
    <t>inzi</t>
  </si>
  <si>
    <t>sanofi</t>
  </si>
  <si>
    <t>Olive - Bucheon</t>
  </si>
  <si>
    <t>kolon3</t>
  </si>
  <si>
    <t>XACN lương tín</t>
  </si>
  <si>
    <t>Thép SEAH</t>
  </si>
  <si>
    <t>Đồng tâm q6</t>
  </si>
  <si>
    <t>HIROTA</t>
  </si>
  <si>
    <t>TỰ LỰC</t>
  </si>
  <si>
    <t>Quán 277</t>
  </si>
  <si>
    <t>PMG</t>
  </si>
  <si>
    <t>Quân</t>
  </si>
  <si>
    <t>CDG</t>
  </si>
  <si>
    <t>Novar</t>
  </si>
  <si>
    <t>Boomin viêt</t>
  </si>
  <si>
    <t>Boomin Hàn</t>
  </si>
  <si>
    <t>CS Bearing</t>
  </si>
  <si>
    <t>Bason</t>
  </si>
  <si>
    <t>Lộc phát</t>
  </si>
  <si>
    <t xml:space="preserve">Đông in </t>
  </si>
  <si>
    <t>Boomin Viêt</t>
  </si>
  <si>
    <t>kingtex</t>
  </si>
  <si>
    <t>hương việt</t>
  </si>
  <si>
    <t>may anh vĩ</t>
  </si>
  <si>
    <t>Galaxy - STEC</t>
  </si>
  <si>
    <t>Beesco 3</t>
  </si>
  <si>
    <t>Ngày</t>
  </si>
  <si>
    <t>HCM</t>
  </si>
  <si>
    <t>Miền đông</t>
  </si>
  <si>
    <t>Thue suat</t>
  </si>
  <si>
    <t>Row Labels</t>
  </si>
  <si>
    <t>Grand Total</t>
  </si>
  <si>
    <t>bàu bàng</t>
  </si>
  <si>
    <t>10 khó</t>
  </si>
  <si>
    <t>xe thành tín đến trạm lấy</t>
  </si>
  <si>
    <t>dooil</t>
  </si>
  <si>
    <t>Dongin</t>
  </si>
  <si>
    <t>knk</t>
  </si>
  <si>
    <t>Cty SP</t>
  </si>
  <si>
    <t>Boomin (Bếp việt)</t>
  </si>
  <si>
    <t>Tâm An Phát</t>
  </si>
  <si>
    <t>chauducgold</t>
  </si>
  <si>
    <t>Bếp QP</t>
  </si>
  <si>
    <t>Kolon3</t>
  </si>
  <si>
    <t>thúy châu</t>
  </si>
  <si>
    <t>trường trường chinh</t>
  </si>
  <si>
    <t>trần cao vân</t>
  </si>
  <si>
    <t>p&amp;g</t>
  </si>
  <si>
    <t>kreves</t>
  </si>
  <si>
    <t>chipchop</t>
  </si>
  <si>
    <t>Sanofi</t>
  </si>
  <si>
    <t>trường bình tân</t>
  </si>
  <si>
    <t>Phú Mỹ Gold</t>
  </si>
  <si>
    <t>Lộc Phát</t>
  </si>
  <si>
    <t>Novas</t>
  </si>
  <si>
    <t>serim</t>
  </si>
  <si>
    <t>seoul,an phú</t>
  </si>
  <si>
    <t>mầm non tý hon</t>
  </si>
  <si>
    <t>qn87</t>
  </si>
  <si>
    <t>366 hà huy tập</t>
  </si>
  <si>
    <t>CS Wind</t>
  </si>
  <si>
    <t>SEAH</t>
  </si>
  <si>
    <t>Bomin (Bếp Việt)</t>
  </si>
  <si>
    <t>trường dương</t>
  </si>
  <si>
    <t>Boomin (Bếp hàn)</t>
  </si>
  <si>
    <t>thành tín</t>
  </si>
  <si>
    <t>Kuoyuen</t>
  </si>
  <si>
    <t>Bếp TT</t>
  </si>
  <si>
    <t>(blank)</t>
  </si>
  <si>
    <r>
      <rPr>
        <rFont val="Calibri"/>
        <b/>
        <color theme="1"/>
        <sz val="10.0"/>
      </rPr>
      <t>CÔNG TY TNHH THƯƠNG MẠI DỊCH VỤ THÀNH TÍN LBG</t>
    </r>
    <r>
      <rPr>
        <rFont val="Calibri"/>
        <color theme="1"/>
        <sz val="10.0"/>
      </rPr>
      <t xml:space="preserve">
115/22/60 BIS Đường Nguyễn Du, Phường Bến Thành, Quận 1, TPHCM
MST: 0317961718</t>
    </r>
  </si>
  <si>
    <t>BIÊN BẢN ĐỐI CHIẾU CÔNG NỢ</t>
  </si>
  <si>
    <t>01/04/2026 - 30/04/2026</t>
  </si>
  <si>
    <t>galaxy</t>
  </si>
  <si>
    <t>Khách hàng:</t>
  </si>
  <si>
    <t>Địa chỉ:</t>
  </si>
  <si>
    <t>Mã số thuế:</t>
  </si>
  <si>
    <t>Hai bên thống nhất số lượng bên B mua của bên A về thời gian giao nhận &amp; Khối lượng hàng hóa theo bảng kê chi tiết như sau:</t>
  </si>
  <si>
    <t>STT</t>
  </si>
  <si>
    <t>Nội Dung</t>
  </si>
  <si>
    <t>TỔNG</t>
  </si>
  <si>
    <t>Thuế GTGT (8%)</t>
  </si>
  <si>
    <t>Tổng tiền hàng (bao gồm GTGT 8%) là:</t>
  </si>
  <si>
    <t>TP Hồ Chí Minh, Ngày  tháng  năm 2026</t>
  </si>
  <si>
    <t>Xác nhận của khách hàng</t>
  </si>
  <si>
    <t>Người lập</t>
  </si>
  <si>
    <t>Tổng số tiền nợ tính từ</t>
  </si>
  <si>
    <t>là</t>
  </si>
  <si>
    <t>Tên</t>
  </si>
  <si>
    <t>Tên người mua</t>
  </si>
  <si>
    <t>Mã số thuế</t>
  </si>
  <si>
    <t>Mã</t>
  </si>
  <si>
    <t>Tài khoản</t>
  </si>
  <si>
    <t>Địa Chỉ Khách Hàng</t>
  </si>
  <si>
    <t>Điện Thoại</t>
  </si>
  <si>
    <t>Fax</t>
  </si>
  <si>
    <t>Email</t>
  </si>
  <si>
    <t>Người đại diện pháp luật</t>
  </si>
  <si>
    <t>Người liên hệ</t>
  </si>
  <si>
    <t>Số tài khoản ngân hàng</t>
  </si>
  <si>
    <t>Chủ tài khoản</t>
  </si>
  <si>
    <t>Tên ngân hàng</t>
  </si>
  <si>
    <t>Mô tả</t>
  </si>
  <si>
    <t>Khách hàng đăng ký nhận mail</t>
  </si>
  <si>
    <t>Kiểu khách hàng</t>
  </si>
  <si>
    <t>Mã đơn vị quan hệ ngân sách</t>
  </si>
  <si>
    <t>Căn cước công dân</t>
  </si>
  <si>
    <t>Số hộ chiếu</t>
  </si>
  <si>
    <t>CÔNG TY TNHH OLIVE</t>
  </si>
  <si>
    <t>0107622324</t>
  </si>
  <si>
    <t>OLIVE</t>
  </si>
  <si>
    <t>8-LK4, Khu Nhà ở Thương mại tại Tổ 6, Phường Xuân Phương, Quận Nam Từ Liêm, Thành Phố Hà Nội, Việt Nam</t>
  </si>
  <si>
    <t>02432024333</t>
  </si>
  <si>
    <t>hienpurchasing.olive@gmail.com,nguyendinhtot123@gmail.com,ketoanolive@gmail.com</t>
  </si>
  <si>
    <t>TAEYANG (NHƠN TRẠCH)</t>
  </si>
  <si>
    <t>Có</t>
  </si>
  <si>
    <t>Khách hàng không phải là đơn vị kế toán</t>
  </si>
  <si>
    <t>CHI NHÁNH CÔNG TY TNHH OLIVE TẠI MIỀN NAM</t>
  </si>
  <si>
    <t>0107622324-004</t>
  </si>
  <si>
    <t>olivesg</t>
  </si>
  <si>
    <t>004</t>
  </si>
  <si>
    <t>Tầng 3, Toà Nhà Lexington, 67 Mai Chí Thọ, Phường Bình Trưng, Thành Phố Hồ Chí Minh, Việt Nam.</t>
  </si>
  <si>
    <t>083.2662566</t>
  </si>
  <si>
    <t>ok</t>
  </si>
  <si>
    <t>CÔNG TY TNHH ẨM THỰC BẾP BÀ NGOẠI</t>
  </si>
  <si>
    <t>0110978786</t>
  </si>
  <si>
    <t>bepbangoai</t>
  </si>
  <si>
    <t>Số 7, ngách 11/17, đường Tô Ngọc Vân, Phường Tây Hồ, TP Hà Nội, Việt Nam</t>
  </si>
  <si>
    <t>Amthucbepbangoai@gmail.com</t>
  </si>
  <si>
    <t>CÔNG TY CỔ PHẦN GIÁO DỤC QUỐC TẾ</t>
  </si>
  <si>
    <t>0300831291</t>
  </si>
  <si>
    <t>GDQT</t>
  </si>
  <si>
    <t>28 Võ Trường Toản, Phường An Phú, Thành Phố Thủ Đức, TP.HCM</t>
  </si>
  <si>
    <t>chidinh@ishcmc.edu.vn</t>
  </si>
  <si>
    <t>CÔNG TY TNHH SUẤT ĂN CÔNG NGHIỆP THIÊN HÀ</t>
  </si>
  <si>
    <t>0305580242</t>
  </si>
  <si>
    <t>69-71 Đường 17, Khu Phố 5, Phường Bình Trưng, Thành Phố Hồ Chí Minh.</t>
  </si>
  <si>
    <t>nguyendinhtot123@gmail.com,yenntt@galaxycorp-vn.com,acc@galaxycorp-vn.com,minhmd@galaxycorp-vn.com,anhdtt@galaxycorp-vn.com,linhtm@galaxycorp-vn.com</t>
  </si>
  <si>
    <t>CÔNG TY CỔ PHẦN THƯƠNG MẠI DỊCH VỤ SUẤT ĂN VÀ VỆ SINH CÔNG NGHIỆP SAO VIỆT</t>
  </si>
  <si>
    <t>0310041013</t>
  </si>
  <si>
    <t>vstarc</t>
  </si>
  <si>
    <t>156/1/25 Cộng Hoà, Phường Bảy Hiền, Thành phố Hồ Chí Minh, Việt Nam</t>
  </si>
  <si>
    <t>hoadonsaoviet@meinvoice.vn</t>
  </si>
  <si>
    <t>CÔNG TY TNHH MAY ANH VĨ</t>
  </si>
  <si>
    <t>0310415068</t>
  </si>
  <si>
    <t>anhvi</t>
  </si>
  <si>
    <t>279-281 Cộng Hòa, Phường Tân Bình, TP Hồ Chí Minh, Việt Nam</t>
  </si>
  <si>
    <t>0985 949 207,0764134150</t>
  </si>
  <si>
    <t>Ketoan@anhvi.com</t>
  </si>
  <si>
    <t>CÔNG TY TNHH MTV DỊCH VỤ GIA ĐÌNH VIỆT</t>
  </si>
  <si>
    <t>0310549833</t>
  </si>
  <si>
    <t>Giadinhviet</t>
  </si>
  <si>
    <t>245 Bùi Văn Ba, Phường Tân Thuận, TP Hồ Chí Minh, Việt Nam</t>
  </si>
  <si>
    <t>tranbichha3@gmail.com,nguyendinhtot123@gmail.com</t>
  </si>
  <si>
    <t>CÔNG TY TNHH KINH DOANH BẤT ĐỘNG SẢN – GIẢI TRÍ QUỐC TẾ VÀ CỘNG SỰ</t>
  </si>
  <si>
    <t>a Thắng</t>
  </si>
  <si>
    <t>0312091570</t>
  </si>
  <si>
    <t>phomai</t>
  </si>
  <si>
    <t>Số 1B, đường số 30, Khu Phố 2, Phường An Khánh, Thành Phố Thủ Đức, Thành phố Hồ Chí Minh, Việt Nam</t>
  </si>
  <si>
    <t>CÔNG TY TNHH MỘT THÀNH VIÊN DỊCH VỤ SAO KIM</t>
  </si>
  <si>
    <t>0312301299</t>
  </si>
  <si>
    <t>gdv</t>
  </si>
  <si>
    <t>CÔNG TY TNHH DỊCH VỤ SUẤT ĂN HƯƠNG VIỆT</t>
  </si>
  <si>
    <t>0313560842</t>
  </si>
  <si>
    <t>huongviet</t>
  </si>
  <si>
    <t>C59/2, Đường Lô C, Tổ 22, Khu phố 2,Phường Phú Thuận, Tp. HCM, Việt Nam</t>
  </si>
  <si>
    <t>huongvietcatering24082015@gmail.com</t>
  </si>
  <si>
    <t>CÔNG TY TNHH THƯƠNG MẠI THỰC PHẨM BÉO ƠI VIỆT NAM</t>
  </si>
  <si>
    <t>0319219734</t>
  </si>
  <si>
    <t>beooi</t>
  </si>
  <si>
    <t>Số 15/34 Nguyễn Thị Minh Khai, Phường Sài Gòn, Thành Phố Hồ Chí Minh, Việt Nam.</t>
  </si>
  <si>
    <t>0911208762</t>
  </si>
  <si>
    <t>CHI NHÁNH CÔNG TY TNHH THƯƠNG MẠI DỊCH VỤ VŨ KỲ THƯ</t>
  </si>
  <si>
    <t>0314220535-002</t>
  </si>
  <si>
    <t>MUOIKHO</t>
  </si>
  <si>
    <t>0314220535</t>
  </si>
  <si>
    <t>20 Song Hành, Phường An Khánh, Thành phố Hồ Chí Minh, Việt Nam</t>
  </si>
  <si>
    <t>comquemuoikho2017@gmail.com,luuluyen.ct@gmail.com</t>
  </si>
  <si>
    <t>CÔNG TY TNHH BLUESTAR ASIA</t>
  </si>
  <si>
    <t>0315110983</t>
  </si>
  <si>
    <t>bluestar</t>
  </si>
  <si>
    <t>281/4/4 Bình Lợi, Phường Bình Lợi Trung, Thành Phố Hồ Chí Minh, Việt Nam</t>
  </si>
  <si>
    <t>bluestarasia.hson@meinvoice.vn,bluestarasia.acc@gmail.com,bluestarasia.yen@gmail.com,bluestarasia.purchase@gmail.com</t>
  </si>
  <si>
    <t>CÔNG TY TNHH GOOBNE VIỆT NAM</t>
  </si>
  <si>
    <t>0315409501</t>
  </si>
  <si>
    <t>nowzon</t>
  </si>
  <si>
    <t>48 Cao Đức Lân, Phường Bình Trưng, TP. Hồ Chí Minh</t>
  </si>
  <si>
    <t>CÔNG TY CỔ PHẦN PHÁT TRIỂN VÀ ĐẦU TƯ LONG PHƯỚC</t>
  </si>
  <si>
    <t>0318126808</t>
  </si>
  <si>
    <t>longphuoc</t>
  </si>
  <si>
    <t>195 Đường 5, khu phố Lân Ngoài, Phường Long Phước, TP Hồ Chí Minh, Việt Nam</t>
  </si>
  <si>
    <t>nguyendinhtot123@gmail.com</t>
  </si>
  <si>
    <t>CÔNG  TY TNHH DỊCH VỤ THƯƠNG MẠI NHÀ HÀNG CAM</t>
  </si>
  <si>
    <t>0318499849</t>
  </si>
  <si>
    <t>CAM</t>
  </si>
  <si>
    <t>549/88 Lê Văn Thọ, Phường 14, Quận Gò Vấp, Thành Phố Hồ Chí Minh</t>
  </si>
  <si>
    <t>ketoan@theweird.net</t>
  </si>
  <si>
    <t>CÔNG TY TNHH TM &amp; SX OVILEY</t>
  </si>
  <si>
    <t>0318503735</t>
  </si>
  <si>
    <t>hoalan</t>
  </si>
  <si>
    <t>133N Hoa Lan, Phường Cầu Kiệu, Thành phố Hồ Chí Minh,Việt Nam</t>
  </si>
  <si>
    <t>0933569088</t>
  </si>
  <si>
    <t>Ovileyvietnam@gmail.com,nguyendinhtot123@gmail.com</t>
  </si>
  <si>
    <t>CÔNG TY CỔ PHẦN ẨM THỰC TÂN KHANH</t>
  </si>
  <si>
    <t>0318755235</t>
  </si>
  <si>
    <t>CKULINH</t>
  </si>
  <si>
    <t>16 Trần Cao Vân, Phường Sài Gòn, TP Hồ Chí Minh, Việt Nam</t>
  </si>
  <si>
    <t>amthuctankhanh@gmail.com,purchasing1@comnieuphonui.vn,acc2@comnieuphonui.vn</t>
  </si>
  <si>
    <t>CÔNG TY TNHH SUẤT ĂN CÔNG NGHIỆP LỘC PHÁT</t>
  </si>
  <si>
    <t>0318971596</t>
  </si>
  <si>
    <t>LOCPHAT</t>
  </si>
  <si>
    <t>Hẻm 995, Đường Hùng Vương, Ấp 3, Xã Phước An, Tỉnh Đồng Nai, Việt Nam</t>
  </si>
  <si>
    <t>congnghieplocphat@gmail.com</t>
  </si>
  <si>
    <t>CÔNG TY TNHH PHẠM NGHIÊM TRAI BONGENSAI</t>
  </si>
  <si>
    <t>0318996907</t>
  </si>
  <si>
    <t>bongensai</t>
  </si>
  <si>
    <t>199 Nguyễn Trãi, Phường Cầu Ông Lãnh, TPHCM</t>
  </si>
  <si>
    <t>phamnghiemtraiq2@gmail.com</t>
  </si>
  <si>
    <t>CÔNG TY TNHH ĐẦU TƯ VÀ PHÁT TRIỂN T&amp;T HOUSE</t>
  </si>
  <si>
    <t>0319039097</t>
  </si>
  <si>
    <t>seoulq5</t>
  </si>
  <si>
    <t>Số 406 An Dương Vương, Phường Chợ Quán, Thành Phố Hồ Chí Minh, Việt Nam</t>
  </si>
  <si>
    <t>0908588200</t>
  </si>
  <si>
    <t>tuoiphan2024@gmail.com,tandthouse.seoul@gmail.com</t>
  </si>
  <si>
    <t>CÔNG TY TNHH MTV ẨM THỰC QUỐC BẢO</t>
  </si>
  <si>
    <t>0319163707</t>
  </si>
  <si>
    <t>nepquan</t>
  </si>
  <si>
    <t>502 Phan Huy Ích, Phường An Hội Tây, Thành Phố Hồ Chí Minh, Việt Nam.</t>
  </si>
  <si>
    <t>0933122144</t>
  </si>
  <si>
    <t>thevan06@gmail.com,amthucquocbao@gmail.com</t>
  </si>
  <si>
    <t>CÔNG TY TNHH THỰC PHẨM QN78</t>
  </si>
  <si>
    <t>0319178358</t>
  </si>
  <si>
    <t>QN78</t>
  </si>
  <si>
    <t>Số 11 Nguyễn Thị Diệu, Phường Xuân Hoà, Thành Phố Hồ Chí Minh,Viêt Nam</t>
  </si>
  <si>
    <t>0903713935</t>
  </si>
  <si>
    <t>CÔNG TY TNHH THƯƠNG MẠI &amp; DỊCH VỤ VINREST</t>
  </si>
  <si>
    <t>0319202875</t>
  </si>
  <si>
    <t>annamquan</t>
  </si>
  <si>
    <t>Số 7B Đường Tân Hòa 2, Khu phố 6, Phường Tăng Nhơn Phú, Thành phố Hồ Chí Minh, Việt Nam</t>
  </si>
  <si>
    <t>0923 188 986</t>
  </si>
  <si>
    <t>vinrest.business@gmail.com</t>
  </si>
  <si>
    <t>CÔNG TY TNHH CÔNG NGHỆ CRM (VIỆT NAM)</t>
  </si>
  <si>
    <t>1101830672</t>
  </si>
  <si>
    <t>Lô D1-1, Đường Số 14, KCN Thuận Đạo mở rộng, Xã Long Cang, Tỉnh Tây Ninh, Việt Nam</t>
  </si>
  <si>
    <t>CÔNG TY CỔ PHẦN NGON VEGAN SÀI GÒN</t>
  </si>
  <si>
    <t>0319413918</t>
  </si>
  <si>
    <t>Vegan</t>
  </si>
  <si>
    <t>16 Trần Cao Vân, Phường Sài Gòn, Thành phố Hồ Chí Minh</t>
  </si>
  <si>
    <t>HỘ KINH DOANH QUÁN ĂN MAIKA</t>
  </si>
  <si>
    <t>079093021278</t>
  </si>
  <si>
    <t>maikaQ3</t>
  </si>
  <si>
    <t>155 Nguyễn Đình Chiểu, phường Xuân Hoà, Thành phố Hồ Chí Minh</t>
  </si>
  <si>
    <t>dao.dna1412@gmail.com,phanyennhu4727@gmail.com</t>
  </si>
  <si>
    <t>HỘ KINH DOANH MAIKA</t>
  </si>
  <si>
    <t>079191019616</t>
  </si>
  <si>
    <t>maikaQ5</t>
  </si>
  <si>
    <t>528-530 Nguyễn Trãi, phường An Đông, Thành phố Hồ Chí Minh</t>
  </si>
  <si>
    <t>CÔNG TY TNHH YUJIN KREVES</t>
  </si>
  <si>
    <t>1101821614</t>
  </si>
  <si>
    <t>Lô E1, Đường số 6, Khu công nghiệp Hòa Bình, Xã Nhị Thành, Huyện Thủ Thừa, Tỉnh Long An, Việt Nam</t>
  </si>
  <si>
    <t>CÔNG TY TNHH ĐẦU TƯ CÔNG NGHIỆP NGỌC TÚ</t>
  </si>
  <si>
    <t>3703209850</t>
  </si>
  <si>
    <t>ngoctu</t>
  </si>
  <si>
    <t>3702499949</t>
  </si>
  <si>
    <t>Ô 44, Lô DC45, Khu Định Cư Việt Sing, Phường An Phú, Thành phố Thuận An, Tỉnh Bình Dương, Việt Nam</t>
  </si>
  <si>
    <t>0878889441</t>
  </si>
  <si>
    <t>nguyendinhtot123@gmail.com,hkt.vps@gmail.com</t>
  </si>
  <si>
    <t>HỢP TÁC XÃ CHIP CHOP FARM</t>
  </si>
  <si>
    <t>1102016762</t>
  </si>
  <si>
    <t>HOATRA</t>
  </si>
  <si>
    <t>Ấp 4, Xã Lương Hòa, Tỉnh Tây Ninh, Việt Nam</t>
  </si>
  <si>
    <t>CÔNG TY TNHH CALFVOI VIỆT NAM</t>
  </si>
  <si>
    <t>1102075197</t>
  </si>
  <si>
    <t>Nhà xưởng Lô B3, đường số 8, KCN Thuận Đạo, Xã Bến Lức, Tỉnh Tây Ninh, Việt Nam</t>
  </si>
  <si>
    <t>CÔNG TY TNHH MTV NHÀ HÀNG HẢI SẢN HOÀNG</t>
  </si>
  <si>
    <t>1102114921</t>
  </si>
  <si>
    <t>HSHoang</t>
  </si>
  <si>
    <t>Thửa đất số 5450, tờ bản đồ số 1, Xã Bến Lức, Tỉnh Tây Ninh</t>
  </si>
  <si>
    <t>CÔNG TY CỔ PHẦN DỊCH VỤ TỔNG HỢP DẦU KHÍ VŨNG TÀU</t>
  </si>
  <si>
    <t>3500835690</t>
  </si>
  <si>
    <t>petrosetco</t>
  </si>
  <si>
    <t>Số 63 đường 30/4, Phường Rạch Dừa, Thành phố Hồ Chí Minh, Việt Nam</t>
  </si>
  <si>
    <t>einvoice.psv@petrosetco.com.vn,cb.pvgas@petrosetco.com.vn</t>
  </si>
  <si>
    <t>CÔNG TY TNHH CÔNG NGHIỆP LƯƠNG TÍN</t>
  </si>
  <si>
    <t>3502427023</t>
  </si>
  <si>
    <t>luongtin</t>
  </si>
  <si>
    <t>Quốc lộ 51, khu phố Hải Sơn, Phường Tân Phước, TP Hồ Chí Minh, Việt Nam</t>
  </si>
  <si>
    <t>congnghiepluongtin@gmail.com,nguyendinhtot123@gmail.com</t>
  </si>
  <si>
    <t>CÔNG TY CP DỊCH VỤ VÀ THƯƠNG MẠI PHÚ MỸ GOLD</t>
  </si>
  <si>
    <t>3502487167</t>
  </si>
  <si>
    <t>pmg</t>
  </si>
  <si>
    <t>5522555666</t>
  </si>
  <si>
    <t>Tổ 10, Khu phố Song Vĩnh, Phường Tân Phước, Thành Phố Hồ Chí Minh, Việt Nam</t>
  </si>
  <si>
    <t>Phumygold72@gmail.com,nguyendinhtot123@gmail.com</t>
  </si>
  <si>
    <t>CÔNG TY TNHH VẬT LIỆU MỚI KAIYANG VIỆT NAM</t>
  </si>
  <si>
    <t>3502519588</t>
  </si>
  <si>
    <t>kaiyang</t>
  </si>
  <si>
    <t>Lô 29, Đường Đ.10, KCN Châu Đức, Xã Nghĩa Thành, Huyện Châu Đức, Tỉnh Bà Rịa- Vũng Tàu, Việt Nam</t>
  </si>
  <si>
    <t>CÔNG TY TNHH THỰC PHẨM CHÂU ĐỨC GOLD</t>
  </si>
  <si>
    <t>3502533705</t>
  </si>
  <si>
    <t>Tổ 8, Khu Phố Ngọc Hà, Đường Nguyễn Cư Trinh, Phường Phú Mỹ, Thành Phố Hồ Chí Minh, Việt Nam</t>
  </si>
  <si>
    <t>CÔNG TY TNHH SUẤT ĂN CÔNG NGHIỆP CƠM VÀNG</t>
  </si>
  <si>
    <t>3603480383</t>
  </si>
  <si>
    <t>BASON</t>
  </si>
  <si>
    <t>Số 11A, Tổ 91, Khu Phố 13, Phường Hố Nai, Thành Phố Biên Hòa, Tỉnh Đồng Nai, Việt Nam</t>
  </si>
  <si>
    <t>comvang.nhanhoadon@gmail.com,nguyendinhtot123@gmail.com,nhatlinhbc86@gmail.com</t>
  </si>
  <si>
    <t>CÔNG TY TNHH XỐP SERIM VINA</t>
  </si>
  <si>
    <t>3702636930</t>
  </si>
  <si>
    <t>2 VSIP II-A, Đường số 32, Khu công nghiệp Việt Nam – Singapore II-A,Phường Vĩnh Tân, Thành phố Hồ Chí Minh, Việt Nam</t>
  </si>
  <si>
    <t>daoxuanpha99@gmail.com,phamthutram14032000@gmail.com</t>
  </si>
  <si>
    <t>CÔNG TY TNHH E VIET FOOD SOLUTION</t>
  </si>
  <si>
    <t>3702821676</t>
  </si>
  <si>
    <t>Lô X5, Cụm công nghiệp Công ty cổ phần thành phố Đẹp, Khu Phố Ông Đông, Phường Tân Hiệp, TP. Hồ Chí Minh.</t>
  </si>
  <si>
    <t>Congtyevietsolution@gmail.com,ketoan.evietsolution@gmail.com</t>
  </si>
  <si>
    <t>CÔNG TY TNHH SUNAGRO FOOD (VIET NAM).</t>
  </si>
  <si>
    <t>3703070408</t>
  </si>
  <si>
    <t>sunagro</t>
  </si>
  <si>
    <t>Nhà xưởng A_17A14, lô A_17_CN, đường NX5 khu công nghiệp Bàu Bàng, Phường Bến Cát, TP Hồ Chí Minh, Việt Nam.</t>
  </si>
  <si>
    <t>vnexim@suncamry.com</t>
  </si>
  <si>
    <t>CÔNG TY TNHH DRIP DRIP COFFEE ROASTERY</t>
  </si>
  <si>
    <t>cfeDRIP</t>
  </si>
  <si>
    <t>0319162686</t>
  </si>
  <si>
    <t>766/92/37/10 Cách Mạng Tháng 8, Khu Phố 1, Phường Tân Sơn Nhất, Thành phố Hồ Chí Minh</t>
  </si>
  <si>
    <t>CÔNG TY TNHH ĐÀO TẠO VÀ TƯ VẤN GIÁO DỤC HÀNH TRÌNH TRI THỨC VIỆT</t>
  </si>
  <si>
    <t>3703231567</t>
  </si>
  <si>
    <t>trithucviet</t>
  </si>
  <si>
    <t>Số 130, Đường Nguyễn Văn Thành, Khu Phố 6, Phường Định Hòa, TP. Thủ Dầu Một, Tỉnh Bình Dương.</t>
  </si>
  <si>
    <t>hanhtrinhtrithucviet@gmail.com</t>
  </si>
  <si>
    <t>mần non Hòn Đảo Tý hon</t>
  </si>
  <si>
    <t>HỘ KINH DOANH TÍN TÍN PHÁT</t>
  </si>
  <si>
    <t>A TUẤN (0931170729)</t>
  </si>
  <si>
    <t>8037879695-001</t>
  </si>
  <si>
    <t>TINTINPHAT</t>
  </si>
  <si>
    <t>8037879695</t>
  </si>
  <si>
    <t>Số 1, Căn tin trường THPT Trường Chinh, DN11, Tổ 3, khu phố 4, Phường Đông Hưng Thuận, TP Hồ Chí Minh</t>
  </si>
  <si>
    <t>HỘ KINH DOANH LALASALAD</t>
  </si>
  <si>
    <t>8107168433</t>
  </si>
  <si>
    <t>133nhoalan</t>
  </si>
  <si>
    <t>96 Phan Văn Hân, Phường Gia Định, Thành Phố Hồ Chí Minh</t>
  </si>
  <si>
    <t>lalasalad.com@gmail.com,nguyendinhtot123@gmail.com</t>
  </si>
  <si>
    <t>HKD MỲ CAY SEOUL 7 CẤP ĐỘ ( HOÀNG HOA THÁM)</t>
  </si>
  <si>
    <t>Nguyễn Ngọc Thuần</t>
  </si>
  <si>
    <t>8461703369-001</t>
  </si>
  <si>
    <t>8461703369</t>
  </si>
  <si>
    <t>123/1 Hoàng Hoa Thám, Phường 6, Quận Bình Thạnh, TPHCM</t>
  </si>
  <si>
    <t>HỘ KINH DOANH MỲ CAY SEOUL ( Gò Dầu, Tây Ninh)</t>
  </si>
  <si>
    <t>Dương Thị Hảo</t>
  </si>
  <si>
    <t>SEOULGODAU</t>
  </si>
  <si>
    <t>034183000455</t>
  </si>
  <si>
    <t>Thửa đất số 152, tờ bản đồ số 27, Ô2, Khu Phố Thanh Hà, Phường Gò Dầu, Tỉnh Tây Ninh, Việt Nam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</si>
</sst>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.00_);_(* \(#,##0.00\);_(* &quot;-&quot;??_);_(@_)"/>
    <numFmt numFmtId="165" formatCode="_(* #,##0_);_(* \(#,##0\);_(* &quot;-&quot;??_);_(@_)"/>
    <numFmt numFmtId="166" formatCode="_(* #,##0.0000_);_(* \(#,##0.0000\);_(* &quot;-&quot;??_);_(@_)"/>
    <numFmt numFmtId="167" formatCode="[$-409]d\-mmm"/>
    <numFmt numFmtId="168" formatCode="#,##0.0"/>
  </numFmts>
  <fonts count="1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theme="0"/>
      <name val="Calibri"/>
    </font>
    <font>
      <b/>
      <sz val="10.0"/>
      <color theme="1"/>
      <name val="Calibri"/>
    </font>
    <font>
      <b/>
      <sz val="11.0"/>
      <color theme="1"/>
      <name val="Calibri"/>
    </font>
    <font/>
    <font>
      <color theme="1"/>
      <name val="Calibri"/>
    </font>
    <font>
      <sz val="11.0"/>
      <color theme="1"/>
      <name val="Times New Roman"/>
    </font>
    <font>
      <sz val="10.0"/>
      <color theme="1"/>
      <name val="Calibri"/>
    </font>
    <font>
      <sz val="10.0"/>
      <color rgb="FFFFFFFF"/>
      <name val="Calibri"/>
    </font>
    <font>
      <sz val="10.0"/>
      <color rgb="FF000000"/>
      <name val="Calibri"/>
    </font>
    <font>
      <sz val="11.0"/>
      <color rgb="FF000000"/>
      <name val="Calibri"/>
    </font>
    <font>
      <b/>
      <sz val="10.0"/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theme="9"/>
        <bgColor theme="9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ABABAB"/>
      </left>
    </border>
    <border>
      <left style="thin">
        <color rgb="FFABABAB"/>
      </left>
      <right style="thin">
        <color rgb="FFABABAB"/>
      </right>
    </border>
    <border>
      <left style="thin">
        <color rgb="FFABABAB"/>
      </left>
      <top style="thin">
        <color rgb="FFABABAB"/>
      </top>
      <bottom style="thin">
        <color rgb="FFABABAB"/>
      </bottom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165" xfId="0" applyFont="1" applyNumberFormat="1"/>
    <xf borderId="0" fillId="0" fontId="2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2" numFmtId="164" xfId="0" applyFont="1" applyNumberFormat="1"/>
    <xf borderId="2" fillId="3" fontId="3" numFmtId="165" xfId="0" applyBorder="1" applyFill="1" applyFont="1" applyNumberFormat="1"/>
    <xf borderId="3" fillId="0" fontId="4" numFmtId="3" xfId="0" applyAlignment="1" applyBorder="1" applyFont="1" applyNumberFormat="1">
      <alignment horizontal="center" shrinkToFit="0" vertical="top" wrapText="1"/>
    </xf>
    <xf borderId="1" fillId="0" fontId="5" numFmtId="3" xfId="0" applyAlignment="1" applyBorder="1" applyFont="1" applyNumberFormat="1">
      <alignment horizontal="center" shrinkToFit="0" vertical="top" wrapText="1"/>
    </xf>
    <xf borderId="1" fillId="4" fontId="5" numFmtId="3" xfId="0" applyAlignment="1" applyBorder="1" applyFill="1" applyFont="1" applyNumberFormat="1">
      <alignment horizontal="center" shrinkToFit="0" vertical="top" wrapText="1"/>
    </xf>
    <xf borderId="1" fillId="0" fontId="5" numFmtId="164" xfId="0" applyAlignment="1" applyBorder="1" applyFont="1" applyNumberFormat="1">
      <alignment horizontal="center" shrinkToFit="0" vertical="top" wrapText="1"/>
    </xf>
    <xf borderId="3" fillId="4" fontId="4" numFmtId="165" xfId="0" applyAlignment="1" applyBorder="1" applyFont="1" applyNumberFormat="1">
      <alignment horizontal="center" shrinkToFit="0" vertical="top" wrapText="1"/>
    </xf>
    <xf borderId="0" fillId="0" fontId="5" numFmtId="0" xfId="0" applyAlignment="1" applyFont="1">
      <alignment horizontal="center"/>
    </xf>
    <xf borderId="4" fillId="0" fontId="6" numFmtId="0" xfId="0" applyBorder="1" applyFont="1"/>
    <xf borderId="1" fillId="0" fontId="4" numFmtId="3" xfId="0" applyAlignment="1" applyBorder="1" applyFont="1" applyNumberFormat="1">
      <alignment horizontal="center" shrinkToFit="0" vertical="top" wrapText="1"/>
    </xf>
    <xf borderId="1" fillId="4" fontId="4" numFmtId="3" xfId="0" applyAlignment="1" applyBorder="1" applyFont="1" applyNumberFormat="1">
      <alignment horizontal="center" shrinkToFit="0" vertical="top" wrapText="1"/>
    </xf>
    <xf borderId="1" fillId="0" fontId="4" numFmtId="164" xfId="0" applyAlignment="1" applyBorder="1" applyFont="1" applyNumberFormat="1">
      <alignment horizontal="center" shrinkToFit="0" vertical="top" wrapText="1"/>
    </xf>
    <xf borderId="1" fillId="5" fontId="7" numFmtId="0" xfId="0" applyAlignment="1" applyBorder="1" applyFill="1" applyFont="1">
      <alignment horizontal="center" shrinkToFit="0" wrapText="0"/>
    </xf>
    <xf borderId="1" fillId="5" fontId="8" numFmtId="0" xfId="0" applyAlignment="1" applyBorder="1" applyFont="1">
      <alignment vertical="bottom"/>
    </xf>
    <xf borderId="1" fillId="0" fontId="2" numFmtId="3" xfId="0" applyAlignment="1" applyBorder="1" applyFont="1" applyNumberFormat="1">
      <alignment horizontal="center" shrinkToFit="0" vertical="center" wrapText="1"/>
    </xf>
    <xf borderId="4" fillId="5" fontId="8" numFmtId="165" xfId="0" applyAlignment="1" applyBorder="1" applyFont="1" applyNumberFormat="1">
      <alignment shrinkToFit="0" vertical="bottom" wrapText="0"/>
    </xf>
    <xf borderId="1" fillId="5" fontId="8" numFmtId="165" xfId="0" applyAlignment="1" applyBorder="1" applyFont="1" applyNumberFormat="1">
      <alignment shrinkToFit="0" vertical="bottom" wrapText="0"/>
    </xf>
    <xf borderId="4" fillId="5" fontId="7" numFmtId="164" xfId="0" applyAlignment="1" applyBorder="1" applyFont="1" applyNumberFormat="1">
      <alignment horizontal="center" shrinkToFit="0" wrapText="0"/>
    </xf>
    <xf borderId="1" fillId="5" fontId="2" numFmtId="164" xfId="0" applyAlignment="1" applyBorder="1" applyFont="1" applyNumberFormat="1">
      <alignment horizontal="center" shrinkToFit="0" wrapText="0"/>
    </xf>
    <xf borderId="1" fillId="4" fontId="2" numFmtId="164" xfId="0" applyAlignment="1" applyBorder="1" applyFont="1" applyNumberFormat="1">
      <alignment horizontal="center" shrinkToFit="0" vertical="center" wrapText="1"/>
    </xf>
    <xf borderId="1" fillId="4" fontId="2" numFmtId="165" xfId="0" applyAlignment="1" applyBorder="1" applyFont="1" applyNumberFormat="1">
      <alignment horizontal="center" shrinkToFit="0" vertical="center" wrapText="1"/>
    </xf>
    <xf borderId="1" fillId="0" fontId="2" numFmtId="165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shrinkToFit="0" wrapText="1"/>
    </xf>
    <xf borderId="0" fillId="0" fontId="2" numFmtId="3" xfId="0" applyAlignment="1" applyFont="1" applyNumberFormat="1">
      <alignment shrinkToFit="0" wrapText="1"/>
    </xf>
    <xf borderId="0" fillId="0" fontId="2" numFmtId="166" xfId="0" applyAlignment="1" applyFont="1" applyNumberFormat="1">
      <alignment shrinkToFit="0" wrapText="1"/>
    </xf>
    <xf borderId="4" fillId="6" fontId="8" numFmtId="165" xfId="0" applyAlignment="1" applyBorder="1" applyFill="1" applyFont="1" applyNumberFormat="1">
      <alignment shrinkToFit="0" vertical="bottom" wrapText="0"/>
    </xf>
    <xf borderId="4" fillId="6" fontId="7" numFmtId="164" xfId="0" applyAlignment="1" applyBorder="1" applyFont="1" applyNumberFormat="1">
      <alignment horizontal="center" shrinkToFit="0" wrapText="0"/>
    </xf>
    <xf borderId="1" fillId="5" fontId="2" numFmtId="164" xfId="0" applyAlignment="1" applyBorder="1" applyFont="1" applyNumberFormat="1">
      <alignment horizontal="center" readingOrder="0" shrinkToFit="0" wrapText="0"/>
    </xf>
    <xf borderId="0" fillId="0" fontId="9" numFmtId="0" xfId="0" applyFont="1"/>
    <xf borderId="1" fillId="0" fontId="9" numFmtId="15" xfId="0" applyAlignment="1" applyBorder="1" applyFont="1" applyNumberFormat="1">
      <alignment horizontal="center" shrinkToFit="0" vertical="center" wrapText="1"/>
    </xf>
    <xf borderId="1" fillId="0" fontId="2" numFmtId="3" xfId="0" applyBorder="1" applyFont="1" applyNumberFormat="1"/>
    <xf borderId="0" fillId="0" fontId="2" numFmtId="3" xfId="0" applyFont="1" applyNumberFormat="1"/>
    <xf borderId="0" fillId="0" fontId="2" numFmtId="15" xfId="0" applyFont="1" applyNumberForma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2" numFmtId="167" xfId="0" applyAlignment="1" applyFont="1" applyNumberFormat="1">
      <alignment horizontal="left"/>
    </xf>
    <xf borderId="0" fillId="0" fontId="9" numFmtId="3" xfId="0" applyAlignment="1" applyFont="1" applyNumberFormat="1">
      <alignment horizontal="left" shrinkToFit="0" wrapText="1"/>
    </xf>
    <xf borderId="0" fillId="0" fontId="4" numFmtId="3" xfId="0" applyAlignment="1" applyFont="1" applyNumberFormat="1">
      <alignment horizontal="center" shrinkToFit="0" wrapText="1"/>
    </xf>
    <xf borderId="0" fillId="0" fontId="10" numFmtId="0" xfId="0" applyFont="1"/>
    <xf borderId="0" fillId="0" fontId="4" numFmtId="3" xfId="0" applyAlignment="1" applyFont="1" applyNumberFormat="1">
      <alignment shrinkToFit="0" wrapText="1"/>
    </xf>
    <xf borderId="0" fillId="0" fontId="9" numFmtId="3" xfId="0" applyFont="1" applyNumberFormat="1"/>
    <xf borderId="0" fillId="0" fontId="9" numFmtId="3" xfId="0" applyAlignment="1" applyFont="1" applyNumberFormat="1">
      <alignment shrinkToFit="0" wrapText="1"/>
    </xf>
    <xf borderId="0" fillId="0" fontId="9" numFmtId="3" xfId="0" applyAlignment="1" applyFont="1" applyNumberFormat="1">
      <alignment horizontal="left" vertical="top"/>
    </xf>
    <xf borderId="0" fillId="0" fontId="9" numFmtId="0" xfId="0" applyAlignment="1" applyFont="1">
      <alignment horizontal="center" vertical="center"/>
    </xf>
    <xf borderId="3" fillId="0" fontId="9" numFmtId="3" xfId="0" applyAlignment="1" applyBorder="1" applyFont="1" applyNumberFormat="1">
      <alignment horizontal="center" shrinkToFit="0" vertical="center" wrapText="1"/>
    </xf>
    <xf borderId="1" fillId="0" fontId="9" numFmtId="3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165" xfId="0" applyAlignment="1" applyBorder="1" applyFont="1" applyNumberFormat="1">
      <alignment horizontal="center" shrinkToFit="0" vertical="center" wrapText="1"/>
    </xf>
    <xf borderId="1" fillId="0" fontId="9" numFmtId="164" xfId="0" applyAlignment="1" applyBorder="1" applyFont="1" applyNumberFormat="1">
      <alignment horizontal="center" shrinkToFit="0" vertical="center" wrapText="1"/>
    </xf>
    <xf borderId="1" fillId="0" fontId="9" numFmtId="168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9" fillId="0" fontId="4" numFmtId="3" xfId="0" applyAlignment="1" applyBorder="1" applyFont="1" applyNumberFormat="1">
      <alignment horizontal="center" shrinkToFit="0" vertical="center" wrapText="1"/>
    </xf>
    <xf borderId="10" fillId="0" fontId="6" numFmtId="0" xfId="0" applyBorder="1" applyFont="1"/>
    <xf borderId="11" fillId="0" fontId="6" numFmtId="0" xfId="0" applyBorder="1" applyFont="1"/>
    <xf borderId="1" fillId="0" fontId="4" numFmtId="3" xfId="0" applyAlignment="1" applyBorder="1" applyFont="1" applyNumberFormat="1">
      <alignment horizontal="center" shrinkToFit="0" vertical="center" wrapText="1"/>
    </xf>
    <xf borderId="9" fillId="0" fontId="9" numFmtId="3" xfId="0" applyAlignment="1" applyBorder="1" applyFont="1" applyNumberFormat="1">
      <alignment horizontal="left" shrinkToFit="0" vertical="center" wrapText="1"/>
    </xf>
    <xf borderId="0" fillId="0" fontId="9" numFmtId="3" xfId="0" applyAlignment="1" applyFont="1" applyNumberFormat="1">
      <alignment horizontal="center" shrinkToFit="0" vertical="center" wrapText="1"/>
    </xf>
    <xf borderId="0" fillId="0" fontId="4" numFmtId="3" xfId="0" applyAlignment="1" applyFont="1" applyNumberFormat="1">
      <alignment horizontal="center" shrinkToFit="0" vertical="center" wrapText="1"/>
    </xf>
    <xf borderId="0" fillId="0" fontId="11" numFmtId="3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0" fillId="0" fontId="12" numFmtId="0" xfId="0" applyFont="1"/>
    <xf borderId="0" fillId="0" fontId="12" numFmtId="0" xfId="0" applyAlignment="1" applyFont="1">
      <alignment horizontal="left" vertical="top"/>
    </xf>
    <xf borderId="0" fillId="0" fontId="12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right" vertical="center"/>
    </xf>
    <xf borderId="0" fillId="0" fontId="1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M3" sheet="INPUT_GIAO_HANG"/>
  </cacheSource>
  <cacheFields>
    <cacheField name="Ngày giao" numFmtId="0">
      <sharedItems containsString="0" containsBlank="1">
        <m/>
      </sharedItems>
    </cacheField>
    <cacheField name="Mã KH" numFmtId="0">
      <sharedItems containsString="0" containsBlank="1">
        <m/>
      </sharedItems>
    </cacheField>
    <cacheField name="PIC" numFmtId="0">
      <sharedItems containsString="0" containsBlank="1">
        <m/>
      </sharedItems>
    </cacheField>
    <cacheField name="Bình Giao" numFmtId="3">
      <sharedItems>
        <s v="B45kg"/>
      </sharedItems>
    </cacheField>
    <cacheField name="Trả vỏ" numFmtId="3">
      <sharedItems>
        <s v="B45kg"/>
      </sharedItems>
    </cacheField>
    <cacheField name="bình giao2" numFmtId="3">
      <sharedItems>
        <s v="B12kg"/>
      </sharedItems>
    </cacheField>
    <cacheField name="trả vỏ2" numFmtId="3">
      <sharedItems>
        <s v="B12kg"/>
      </sharedItems>
    </cacheField>
    <cacheField name="Gas giao" numFmtId="3">
      <sharedItems>
        <s v="Kg"/>
      </sharedItems>
    </cacheField>
    <cacheField name=" Gas trả " numFmtId="164">
      <sharedItems>
        <s v=" Kg "/>
      </sharedItems>
    </cacheField>
    <cacheField name="Gas thanh toán" numFmtId="3">
      <sharedItems>
        <s v="Kg"/>
      </sharedItems>
    </cacheField>
    <cacheField name=" Đơn giá chưa VAT (vnđ/kg) " numFmtId="0">
      <sharedItems containsString="0" containsBlank="1">
        <m/>
      </sharedItems>
    </cacheField>
    <cacheField name="Thành Tiền" numFmtId="0">
      <sharedItems containsString="0" containsBlank="1">
        <m/>
      </sharedItems>
    </cacheField>
    <cacheField name="Ghi chú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2" cacheId="0" dataCaption="" compact="0" compactData="0">
  <location ref="A3:D7" firstHeaderRow="0" firstDataRow="3" firstDataCol="0"/>
  <pivotFields>
    <pivotField name="Ngày giao" axis="axisRow" compact="0" outline="0" multipleItemSelectionAllowed="1" showAll="0" sortType="ascending">
      <items>
        <item x="0"/>
        <item t="default"/>
      </items>
    </pivotField>
    <pivotField name="Mã KH" compact="0" outline="0" multipleItemSelectionAllowed="1" showAll="0">
      <items>
        <item x="0"/>
        <item t="default"/>
      </items>
    </pivotField>
    <pivotField name="PIC" compact="0" outline="0" multipleItemSelectionAllowed="1" showAll="0">
      <items>
        <item x="0"/>
        <item t="default"/>
      </items>
    </pivotField>
    <pivotField name="Bình Giao" compact="0" numFmtId="3" outline="0" multipleItemSelectionAllowed="1" showAll="0">
      <items>
        <item x="0"/>
        <item t="default"/>
      </items>
    </pivotField>
    <pivotField name="Trả vỏ" compact="0" numFmtId="3" outline="0" multipleItemSelectionAllowed="1" showAll="0">
      <items>
        <item x="0"/>
        <item t="default"/>
      </items>
    </pivotField>
    <pivotField name="bình giao2" compact="0" numFmtId="3" outline="0" multipleItemSelectionAllowed="1" showAll="0">
      <items>
        <item x="0"/>
        <item t="default"/>
      </items>
    </pivotField>
    <pivotField name="trả vỏ2" compact="0" numFmtId="3" outline="0" multipleItemSelectionAllowed="1" showAll="0">
      <items>
        <item x="0"/>
        <item t="default"/>
      </items>
    </pivotField>
    <pivotField name="Gas giao" compact="0" numFmtId="3" outline="0" multipleItemSelectionAllowed="1" showAll="0">
      <items>
        <item x="0"/>
        <item t="default"/>
      </items>
    </pivotField>
    <pivotField name=" Gas trả " compact="0" numFmtId="164" outline="0" multipleItemSelectionAllowed="1" showAll="0">
      <items>
        <item x="0"/>
        <item t="default"/>
      </items>
    </pivotField>
    <pivotField name="Gas thanh toán" compact="0" numFmtId="3" outline="0" multipleItemSelectionAllowed="1" showAll="0">
      <items>
        <item x="0"/>
        <item t="default"/>
      </items>
    </pivotField>
    <pivotField name=" Đơn giá chưa VAT (vnđ/kg) " compact="0" outline="0" multipleItemSelectionAllowed="1" showAll="0">
      <items>
        <item x="0"/>
        <item t="default"/>
      </items>
    </pivotField>
    <pivotField name="Thành Tiền" dataField="1" compact="0" outline="0" multipleItemSelectionAllowed="1" showAll="0">
      <items>
        <item x="0"/>
        <item t="default"/>
      </items>
    </pivotField>
    <pivotField name="Ghi chú" compact="0" outline="0" multipleItemSelectionAllowed="1" showAll="0">
      <items>
        <item x="0"/>
        <item t="default"/>
      </items>
    </pivotField>
  </pivotFields>
  <rowFields>
    <field x="0"/>
    <field x="0"/>
    <field x="0"/>
  </rowFields>
  <dataFields>
    <dataField name="Sum of Thành Tiền" fld="11" baseField="0"/>
  </dataFields>
</pivotTableDefinition>
</file>

<file path=xl/pivotTables/pivotTable2.xml><?xml version="1.0" encoding="utf-8"?>
<pivotTableDefinition xmlns="http://schemas.openxmlformats.org/spreadsheetml/2006/main" name="CONG_NO_THEO_KH" cacheId="0" dataCaption="" compact="0" compactData="0">
  <location ref="X2:Y4" firstHeaderRow="0" firstDataRow="1" firstDataCol="0"/>
  <pivotFields>
    <pivotField name="Ngày giao" compact="0" outline="0" multipleItemSelectionAllowed="1" showAll="0">
      <items>
        <item x="0"/>
        <item t="default"/>
      </items>
    </pivotField>
    <pivotField name="Mã KH" axis="axisRow" compact="0" outline="0" multipleItemSelectionAllowed="1" showAll="0" sortType="ascending">
      <items>
        <item x="0"/>
        <item t="default"/>
      </items>
    </pivotField>
    <pivotField name="PIC" compact="0" outline="0" multipleItemSelectionAllowed="1" showAll="0">
      <items>
        <item x="0"/>
        <item t="default"/>
      </items>
    </pivotField>
    <pivotField name="Bình Giao" compact="0" numFmtId="3" outline="0" multipleItemSelectionAllowed="1" showAll="0">
      <items>
        <item x="0"/>
        <item t="default"/>
      </items>
    </pivotField>
    <pivotField name="Trả vỏ" compact="0" numFmtId="3" outline="0" multipleItemSelectionAllowed="1" showAll="0">
      <items>
        <item x="0"/>
        <item t="default"/>
      </items>
    </pivotField>
    <pivotField name="bình giao2" compact="0" numFmtId="3" outline="0" multipleItemSelectionAllowed="1" showAll="0">
      <items>
        <item x="0"/>
        <item t="default"/>
      </items>
    </pivotField>
    <pivotField name="trả vỏ2" compact="0" numFmtId="3" outline="0" multipleItemSelectionAllowed="1" showAll="0">
      <items>
        <item x="0"/>
        <item t="default"/>
      </items>
    </pivotField>
    <pivotField name="Gas giao" compact="0" numFmtId="3" outline="0" multipleItemSelectionAllowed="1" showAll="0">
      <items>
        <item x="0"/>
        <item t="default"/>
      </items>
    </pivotField>
    <pivotField name=" Gas trả " compact="0" numFmtId="164" outline="0" multipleItemSelectionAllowed="1" showAll="0">
      <items>
        <item x="0"/>
        <item t="default"/>
      </items>
    </pivotField>
    <pivotField name="Gas thanh toán" compact="0" numFmtId="3" outline="0" multipleItemSelectionAllowed="1" showAll="0">
      <items>
        <item x="0"/>
        <item t="default"/>
      </items>
    </pivotField>
    <pivotField name=" Đơn giá chưa VAT (vnđ/kg) " compact="0" outline="0" multipleItemSelectionAllowed="1" showAll="0">
      <items>
        <item x="0"/>
        <item t="default"/>
      </items>
    </pivotField>
    <pivotField name="Thành Tiền" dataField="1" compact="0" outline="0" multipleItemSelectionAllowed="1" showAll="0">
      <items>
        <item x="0"/>
        <item t="default"/>
      </items>
    </pivotField>
    <pivotField name="Ghi chú" compact="0" outline="0" multipleItemSelectionAllowed="1" showAll="0">
      <items>
        <item x="0"/>
        <item t="default"/>
      </items>
    </pivotField>
  </pivotFields>
  <rowFields>
    <field x="1"/>
  </rowFields>
  <dataFields>
    <dataField name="Sum of Thành Tiền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5.14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1" width="18.0"/>
    <col customWidth="1" min="12" max="12" width="14.71"/>
    <col customWidth="1" min="13" max="13" width="9.71"/>
    <col customWidth="1" min="14" max="26" width="8.71"/>
  </cols>
  <sheetData>
    <row r="1" ht="14.25" customHeight="1">
      <c r="A1" s="5"/>
      <c r="B1" s="6"/>
      <c r="C1" s="5"/>
      <c r="D1" s="5"/>
      <c r="E1" s="5"/>
      <c r="F1" s="5"/>
      <c r="G1" s="5"/>
      <c r="H1" s="5"/>
      <c r="I1" s="7"/>
      <c r="J1" s="5"/>
      <c r="K1" s="4"/>
      <c r="L1" s="8">
        <f>SUBTOTAL(9,L4:L1048322)</f>
        <v>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9" t="s">
        <v>0</v>
      </c>
      <c r="B2" s="9" t="s">
        <v>4</v>
      </c>
      <c r="C2" s="9" t="s">
        <v>5</v>
      </c>
      <c r="D2" s="10" t="s">
        <v>6</v>
      </c>
      <c r="E2" s="10" t="s">
        <v>7</v>
      </c>
      <c r="F2" s="10" t="s">
        <v>6</v>
      </c>
      <c r="G2" s="10" t="s">
        <v>7</v>
      </c>
      <c r="H2" s="11" t="s">
        <v>8</v>
      </c>
      <c r="I2" s="12" t="s">
        <v>9</v>
      </c>
      <c r="J2" s="11" t="s">
        <v>10</v>
      </c>
      <c r="K2" s="13" t="s">
        <v>11</v>
      </c>
      <c r="L2" s="9" t="s">
        <v>12</v>
      </c>
      <c r="M2" s="9" t="s">
        <v>13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4.25" customHeight="1">
      <c r="A3" s="15"/>
      <c r="B3" s="15"/>
      <c r="C3" s="15"/>
      <c r="D3" s="16" t="s">
        <v>14</v>
      </c>
      <c r="E3" s="16" t="s">
        <v>14</v>
      </c>
      <c r="F3" s="16" t="s">
        <v>15</v>
      </c>
      <c r="G3" s="16" t="s">
        <v>15</v>
      </c>
      <c r="H3" s="17" t="s">
        <v>16</v>
      </c>
      <c r="I3" s="18" t="s">
        <v>16</v>
      </c>
      <c r="J3" s="17" t="s">
        <v>16</v>
      </c>
      <c r="K3" s="15"/>
      <c r="L3" s="15"/>
      <c r="M3" s="15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9.5" customHeight="1">
      <c r="A4" s="19">
        <v>2.0</v>
      </c>
      <c r="B4" s="20" t="s">
        <v>17</v>
      </c>
      <c r="C4" s="21" t="s">
        <v>18</v>
      </c>
      <c r="D4" s="22">
        <v>10.0</v>
      </c>
      <c r="E4" s="23">
        <v>20.0</v>
      </c>
      <c r="F4" s="22"/>
      <c r="G4" s="23"/>
      <c r="H4" s="24">
        <f t="shared" ref="H4:H83" si="1">D4*45+F4*12</f>
        <v>450</v>
      </c>
      <c r="I4" s="25">
        <v>23.1</v>
      </c>
      <c r="J4" s="26">
        <f t="shared" ref="J4:J114" si="2">H4-I4</f>
        <v>426.9</v>
      </c>
      <c r="K4" s="27"/>
      <c r="L4" s="28"/>
      <c r="M4" s="29"/>
      <c r="N4" s="30"/>
      <c r="O4" s="31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9.5" customHeight="1">
      <c r="A5" s="19">
        <v>2.0</v>
      </c>
      <c r="B5" s="20" t="s">
        <v>19</v>
      </c>
      <c r="C5" s="21" t="s">
        <v>18</v>
      </c>
      <c r="D5" s="22">
        <v>2.0</v>
      </c>
      <c r="E5" s="23">
        <v>2.0</v>
      </c>
      <c r="F5" s="22"/>
      <c r="G5" s="23"/>
      <c r="H5" s="24">
        <f t="shared" si="1"/>
        <v>90</v>
      </c>
      <c r="I5" s="25"/>
      <c r="J5" s="26">
        <f t="shared" si="2"/>
        <v>90</v>
      </c>
      <c r="K5" s="27"/>
      <c r="L5" s="28"/>
      <c r="M5" s="29"/>
      <c r="N5" s="30"/>
      <c r="O5" s="31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9.5" customHeight="1">
      <c r="A6" s="19">
        <v>2.0</v>
      </c>
      <c r="B6" s="20" t="s">
        <v>20</v>
      </c>
      <c r="C6" s="21" t="s">
        <v>18</v>
      </c>
      <c r="D6" s="22">
        <v>2.0</v>
      </c>
      <c r="E6" s="23">
        <v>3.0</v>
      </c>
      <c r="F6" s="22"/>
      <c r="G6" s="23"/>
      <c r="H6" s="24">
        <f t="shared" si="1"/>
        <v>90</v>
      </c>
      <c r="I6" s="25">
        <v>7.9</v>
      </c>
      <c r="J6" s="26">
        <f t="shared" si="2"/>
        <v>82.1</v>
      </c>
      <c r="K6" s="27"/>
      <c r="L6" s="28"/>
      <c r="M6" s="29"/>
      <c r="N6" s="30"/>
      <c r="O6" s="31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9.5" customHeight="1">
      <c r="A7" s="19">
        <v>2.0</v>
      </c>
      <c r="B7" s="20" t="s">
        <v>21</v>
      </c>
      <c r="C7" s="21" t="s">
        <v>18</v>
      </c>
      <c r="D7" s="22">
        <v>2.0</v>
      </c>
      <c r="E7" s="23">
        <v>3.0</v>
      </c>
      <c r="F7" s="22"/>
      <c r="G7" s="23"/>
      <c r="H7" s="24">
        <f t="shared" si="1"/>
        <v>90</v>
      </c>
      <c r="I7" s="25">
        <v>7.9</v>
      </c>
      <c r="J7" s="26">
        <f t="shared" si="2"/>
        <v>82.1</v>
      </c>
      <c r="K7" s="27"/>
      <c r="L7" s="28"/>
      <c r="M7" s="29"/>
      <c r="N7" s="30"/>
      <c r="O7" s="31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9.5" customHeight="1">
      <c r="A8" s="19">
        <v>2.0</v>
      </c>
      <c r="B8" s="20" t="s">
        <v>22</v>
      </c>
      <c r="C8" s="21" t="s">
        <v>18</v>
      </c>
      <c r="D8" s="22">
        <v>2.0</v>
      </c>
      <c r="E8" s="23">
        <v>2.0</v>
      </c>
      <c r="F8" s="22"/>
      <c r="G8" s="23"/>
      <c r="H8" s="24">
        <f t="shared" si="1"/>
        <v>90</v>
      </c>
      <c r="I8" s="25">
        <v>9.8</v>
      </c>
      <c r="J8" s="26">
        <f t="shared" si="2"/>
        <v>80.2</v>
      </c>
      <c r="K8" s="27"/>
      <c r="L8" s="28"/>
      <c r="M8" s="29"/>
      <c r="N8" s="30"/>
      <c r="O8" s="31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9.5" customHeight="1">
      <c r="A9" s="19">
        <v>3.0</v>
      </c>
      <c r="B9" s="20" t="s">
        <v>23</v>
      </c>
      <c r="C9" s="21" t="s">
        <v>18</v>
      </c>
      <c r="D9" s="22">
        <v>2.0</v>
      </c>
      <c r="E9" s="23">
        <v>2.0</v>
      </c>
      <c r="F9" s="22"/>
      <c r="G9" s="23"/>
      <c r="H9" s="24">
        <f t="shared" si="1"/>
        <v>90</v>
      </c>
      <c r="I9" s="25">
        <v>14.3</v>
      </c>
      <c r="J9" s="26">
        <f t="shared" si="2"/>
        <v>75.7</v>
      </c>
      <c r="K9" s="27"/>
      <c r="L9" s="28"/>
      <c r="M9" s="29"/>
      <c r="N9" s="30"/>
      <c r="O9" s="31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9.5" customHeight="1">
      <c r="A10" s="19">
        <v>3.0</v>
      </c>
      <c r="B10" s="20" t="s">
        <v>24</v>
      </c>
      <c r="C10" s="21" t="s">
        <v>18</v>
      </c>
      <c r="D10" s="22">
        <v>3.0</v>
      </c>
      <c r="E10" s="23">
        <v>2.0</v>
      </c>
      <c r="F10" s="22"/>
      <c r="G10" s="23"/>
      <c r="H10" s="24">
        <f t="shared" si="1"/>
        <v>135</v>
      </c>
      <c r="I10" s="25">
        <v>38.1</v>
      </c>
      <c r="J10" s="26">
        <f t="shared" si="2"/>
        <v>96.9</v>
      </c>
      <c r="K10" s="27"/>
      <c r="L10" s="28"/>
      <c r="M10" s="29"/>
      <c r="N10" s="30"/>
      <c r="O10" s="31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9.5" customHeight="1">
      <c r="A11" s="19">
        <v>3.0</v>
      </c>
      <c r="B11" s="20" t="s">
        <v>25</v>
      </c>
      <c r="C11" s="21" t="s">
        <v>18</v>
      </c>
      <c r="D11" s="22"/>
      <c r="E11" s="23"/>
      <c r="F11" s="22">
        <v>10.0</v>
      </c>
      <c r="G11" s="23">
        <v>10.0</v>
      </c>
      <c r="H11" s="24">
        <f t="shared" si="1"/>
        <v>120</v>
      </c>
      <c r="I11" s="25"/>
      <c r="J11" s="26">
        <f t="shared" si="2"/>
        <v>120</v>
      </c>
      <c r="K11" s="27"/>
      <c r="L11" s="28"/>
      <c r="M11" s="29"/>
      <c r="N11" s="30"/>
      <c r="O11" s="31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9.5" customHeight="1">
      <c r="A12" s="19">
        <v>4.0</v>
      </c>
      <c r="B12" s="20" t="s">
        <v>26</v>
      </c>
      <c r="C12" s="21" t="s">
        <v>18</v>
      </c>
      <c r="D12" s="22">
        <v>1.0</v>
      </c>
      <c r="E12" s="23">
        <v>1.0</v>
      </c>
      <c r="F12" s="22"/>
      <c r="G12" s="23"/>
      <c r="H12" s="24">
        <f t="shared" si="1"/>
        <v>45</v>
      </c>
      <c r="I12" s="25"/>
      <c r="J12" s="26">
        <f t="shared" si="2"/>
        <v>45</v>
      </c>
      <c r="K12" s="27"/>
      <c r="L12" s="28"/>
      <c r="M12" s="29"/>
      <c r="N12" s="30"/>
      <c r="O12" s="31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9.5" customHeight="1">
      <c r="A13" s="19">
        <v>4.0</v>
      </c>
      <c r="B13" s="20" t="s">
        <v>27</v>
      </c>
      <c r="C13" s="21" t="s">
        <v>18</v>
      </c>
      <c r="D13" s="22">
        <v>4.0</v>
      </c>
      <c r="E13" s="23">
        <v>4.0</v>
      </c>
      <c r="F13" s="22"/>
      <c r="G13" s="23"/>
      <c r="H13" s="24">
        <f t="shared" si="1"/>
        <v>180</v>
      </c>
      <c r="I13" s="25"/>
      <c r="J13" s="26">
        <f t="shared" si="2"/>
        <v>180</v>
      </c>
      <c r="K13" s="27"/>
      <c r="L13" s="28"/>
      <c r="M13" s="29"/>
      <c r="N13" s="30"/>
      <c r="O13" s="31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9.5" customHeight="1">
      <c r="A14" s="19">
        <v>4.0</v>
      </c>
      <c r="B14" s="20" t="s">
        <v>28</v>
      </c>
      <c r="C14" s="21" t="s">
        <v>18</v>
      </c>
      <c r="D14" s="22">
        <v>10.0</v>
      </c>
      <c r="E14" s="23">
        <v>10.0</v>
      </c>
      <c r="F14" s="22"/>
      <c r="G14" s="23"/>
      <c r="H14" s="24">
        <f t="shared" si="1"/>
        <v>450</v>
      </c>
      <c r="I14" s="25">
        <v>45.8</v>
      </c>
      <c r="J14" s="26">
        <f t="shared" si="2"/>
        <v>404.2</v>
      </c>
      <c r="K14" s="27"/>
      <c r="L14" s="28"/>
      <c r="M14" s="29"/>
      <c r="N14" s="30"/>
      <c r="O14" s="31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9.5" customHeight="1">
      <c r="A15" s="19">
        <v>4.0</v>
      </c>
      <c r="B15" s="20" t="s">
        <v>22</v>
      </c>
      <c r="C15" s="21" t="s">
        <v>18</v>
      </c>
      <c r="D15" s="22">
        <v>2.0</v>
      </c>
      <c r="E15" s="23">
        <v>2.0</v>
      </c>
      <c r="F15" s="22"/>
      <c r="G15" s="23"/>
      <c r="H15" s="24">
        <f t="shared" si="1"/>
        <v>90</v>
      </c>
      <c r="I15" s="25">
        <v>19.2</v>
      </c>
      <c r="J15" s="26">
        <f t="shared" si="2"/>
        <v>70.8</v>
      </c>
      <c r="K15" s="27"/>
      <c r="L15" s="28"/>
      <c r="M15" s="29"/>
      <c r="N15" s="30"/>
      <c r="O15" s="31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9.5" customHeight="1">
      <c r="A16" s="19">
        <v>5.0</v>
      </c>
      <c r="B16" s="20" t="s">
        <v>17</v>
      </c>
      <c r="C16" s="21" t="s">
        <v>18</v>
      </c>
      <c r="D16" s="22">
        <v>5.0</v>
      </c>
      <c r="E16" s="23">
        <v>15.0</v>
      </c>
      <c r="F16" s="22"/>
      <c r="G16" s="23"/>
      <c r="H16" s="24">
        <f t="shared" si="1"/>
        <v>225</v>
      </c>
      <c r="I16" s="25">
        <v>6.6</v>
      </c>
      <c r="J16" s="26">
        <f t="shared" si="2"/>
        <v>218.4</v>
      </c>
      <c r="K16" s="27"/>
      <c r="L16" s="28"/>
      <c r="M16" s="29"/>
      <c r="N16" s="30"/>
      <c r="O16" s="31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9.5" customHeight="1">
      <c r="A17" s="19">
        <v>5.0</v>
      </c>
      <c r="B17" s="20" t="s">
        <v>29</v>
      </c>
      <c r="C17" s="21" t="s">
        <v>18</v>
      </c>
      <c r="D17" s="22">
        <v>4.0</v>
      </c>
      <c r="E17" s="23">
        <v>4.0</v>
      </c>
      <c r="F17" s="22"/>
      <c r="G17" s="23"/>
      <c r="H17" s="24">
        <f t="shared" si="1"/>
        <v>180</v>
      </c>
      <c r="I17" s="25">
        <v>9.4</v>
      </c>
      <c r="J17" s="26">
        <f t="shared" si="2"/>
        <v>170.6</v>
      </c>
      <c r="K17" s="27"/>
      <c r="L17" s="28"/>
      <c r="M17" s="29" t="s">
        <v>30</v>
      </c>
      <c r="N17" s="30"/>
      <c r="O17" s="31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9.5" customHeight="1">
      <c r="A18" s="19">
        <v>5.0</v>
      </c>
      <c r="B18" s="20" t="s">
        <v>31</v>
      </c>
      <c r="C18" s="21" t="s">
        <v>18</v>
      </c>
      <c r="D18" s="22">
        <v>1.0</v>
      </c>
      <c r="E18" s="23">
        <v>1.0</v>
      </c>
      <c r="F18" s="22">
        <v>5.0</v>
      </c>
      <c r="G18" s="23">
        <v>5.0</v>
      </c>
      <c r="H18" s="24">
        <f t="shared" si="1"/>
        <v>105</v>
      </c>
      <c r="I18" s="25"/>
      <c r="J18" s="26">
        <f t="shared" si="2"/>
        <v>105</v>
      </c>
      <c r="K18" s="27"/>
      <c r="L18" s="28"/>
      <c r="M18" s="29"/>
      <c r="N18" s="30"/>
      <c r="O18" s="31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9.5" customHeight="1">
      <c r="A19" s="19">
        <v>5.0</v>
      </c>
      <c r="B19" s="20" t="s">
        <v>32</v>
      </c>
      <c r="C19" s="21" t="s">
        <v>18</v>
      </c>
      <c r="D19" s="22">
        <v>2.0</v>
      </c>
      <c r="E19" s="23">
        <v>2.0</v>
      </c>
      <c r="F19" s="22"/>
      <c r="G19" s="23"/>
      <c r="H19" s="24">
        <f t="shared" si="1"/>
        <v>90</v>
      </c>
      <c r="I19" s="25">
        <v>20.5</v>
      </c>
      <c r="J19" s="26">
        <f t="shared" si="2"/>
        <v>69.5</v>
      </c>
      <c r="K19" s="27"/>
      <c r="L19" s="28"/>
      <c r="M19" s="29"/>
      <c r="N19" s="30"/>
      <c r="O19" s="31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9.5" customHeight="1">
      <c r="A20" s="19">
        <v>5.0</v>
      </c>
      <c r="B20" s="20" t="s">
        <v>33</v>
      </c>
      <c r="C20" s="21" t="s">
        <v>18</v>
      </c>
      <c r="D20" s="22">
        <v>3.0</v>
      </c>
      <c r="E20" s="23"/>
      <c r="F20" s="22"/>
      <c r="G20" s="23"/>
      <c r="H20" s="24">
        <f t="shared" si="1"/>
        <v>135</v>
      </c>
      <c r="I20" s="25"/>
      <c r="J20" s="26">
        <f t="shared" si="2"/>
        <v>135</v>
      </c>
      <c r="K20" s="27"/>
      <c r="L20" s="28"/>
      <c r="M20" s="29"/>
      <c r="N20" s="30"/>
      <c r="O20" s="31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9.5" customHeight="1">
      <c r="A21" s="19">
        <v>5.0</v>
      </c>
      <c r="B21" s="20" t="s">
        <v>34</v>
      </c>
      <c r="C21" s="21" t="s">
        <v>18</v>
      </c>
      <c r="D21" s="22">
        <v>25.0</v>
      </c>
      <c r="E21" s="23">
        <v>25.0</v>
      </c>
      <c r="F21" s="22"/>
      <c r="G21" s="23"/>
      <c r="H21" s="24">
        <f t="shared" si="1"/>
        <v>1125</v>
      </c>
      <c r="I21" s="25">
        <v>254.6</v>
      </c>
      <c r="J21" s="26">
        <f t="shared" si="2"/>
        <v>870.4</v>
      </c>
      <c r="K21" s="27"/>
      <c r="L21" s="28"/>
      <c r="M21" s="29"/>
      <c r="N21" s="30"/>
      <c r="O21" s="31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9.5" customHeight="1">
      <c r="A22" s="19">
        <v>6.0</v>
      </c>
      <c r="B22" s="20" t="s">
        <v>35</v>
      </c>
      <c r="C22" s="21" t="s">
        <v>18</v>
      </c>
      <c r="D22" s="22">
        <v>16.0</v>
      </c>
      <c r="E22" s="23">
        <v>16.0</v>
      </c>
      <c r="F22" s="22"/>
      <c r="G22" s="23"/>
      <c r="H22" s="24">
        <f t="shared" si="1"/>
        <v>720</v>
      </c>
      <c r="I22" s="25"/>
      <c r="J22" s="26">
        <f t="shared" si="2"/>
        <v>720</v>
      </c>
      <c r="K22" s="27"/>
      <c r="L22" s="28"/>
      <c r="M22" s="29"/>
      <c r="N22" s="30"/>
      <c r="O22" s="31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9.5" customHeight="1">
      <c r="A23" s="19">
        <v>6.0</v>
      </c>
      <c r="B23" s="20" t="s">
        <v>36</v>
      </c>
      <c r="C23" s="21" t="s">
        <v>18</v>
      </c>
      <c r="D23" s="22">
        <v>6.0</v>
      </c>
      <c r="E23" s="23">
        <v>6.0</v>
      </c>
      <c r="F23" s="22">
        <v>2.0</v>
      </c>
      <c r="G23" s="23">
        <v>2.0</v>
      </c>
      <c r="H23" s="24">
        <f t="shared" si="1"/>
        <v>294</v>
      </c>
      <c r="I23" s="25">
        <v>41.1</v>
      </c>
      <c r="J23" s="26">
        <f t="shared" si="2"/>
        <v>252.9</v>
      </c>
      <c r="K23" s="27"/>
      <c r="L23" s="28"/>
      <c r="M23" s="29"/>
      <c r="N23" s="30"/>
      <c r="O23" s="31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9.5" customHeight="1">
      <c r="A24" s="19">
        <v>6.0</v>
      </c>
      <c r="B24" s="20" t="s">
        <v>37</v>
      </c>
      <c r="C24" s="21" t="s">
        <v>18</v>
      </c>
      <c r="D24" s="22">
        <v>2.0</v>
      </c>
      <c r="E24" s="23">
        <v>2.0</v>
      </c>
      <c r="F24" s="22"/>
      <c r="G24" s="23"/>
      <c r="H24" s="24">
        <f t="shared" si="1"/>
        <v>90</v>
      </c>
      <c r="I24" s="25">
        <v>11.7</v>
      </c>
      <c r="J24" s="26">
        <f t="shared" si="2"/>
        <v>78.3</v>
      </c>
      <c r="K24" s="27"/>
      <c r="L24" s="28"/>
      <c r="M24" s="29"/>
      <c r="N24" s="30"/>
      <c r="O24" s="31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9.5" customHeight="1">
      <c r="A25" s="19">
        <v>6.0</v>
      </c>
      <c r="B25" s="20" t="s">
        <v>38</v>
      </c>
      <c r="C25" s="21" t="s">
        <v>18</v>
      </c>
      <c r="D25" s="22"/>
      <c r="E25" s="23"/>
      <c r="F25" s="22"/>
      <c r="G25" s="23"/>
      <c r="H25" s="24">
        <f t="shared" si="1"/>
        <v>0</v>
      </c>
      <c r="I25" s="25"/>
      <c r="J25" s="26">
        <f t="shared" si="2"/>
        <v>0</v>
      </c>
      <c r="K25" s="27"/>
      <c r="L25" s="28"/>
      <c r="M25" s="29"/>
      <c r="N25" s="30"/>
      <c r="O25" s="31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9.5" customHeight="1">
      <c r="A26" s="19">
        <v>6.0</v>
      </c>
      <c r="B26" s="20" t="s">
        <v>38</v>
      </c>
      <c r="C26" s="21" t="s">
        <v>18</v>
      </c>
      <c r="D26" s="22"/>
      <c r="E26" s="23"/>
      <c r="F26" s="22"/>
      <c r="G26" s="23"/>
      <c r="H26" s="24">
        <f t="shared" si="1"/>
        <v>0</v>
      </c>
      <c r="I26" s="25"/>
      <c r="J26" s="26">
        <f t="shared" si="2"/>
        <v>0</v>
      </c>
      <c r="K26" s="27"/>
      <c r="L26" s="28"/>
      <c r="M26" s="29"/>
      <c r="N26" s="30"/>
      <c r="O26" s="31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9.5" customHeight="1">
      <c r="A27" s="19">
        <v>7.0</v>
      </c>
      <c r="B27" s="20" t="s">
        <v>23</v>
      </c>
      <c r="C27" s="21" t="s">
        <v>18</v>
      </c>
      <c r="D27" s="22">
        <v>2.0</v>
      </c>
      <c r="E27" s="23">
        <v>2.0</v>
      </c>
      <c r="F27" s="22"/>
      <c r="G27" s="23"/>
      <c r="H27" s="24">
        <f t="shared" si="1"/>
        <v>90</v>
      </c>
      <c r="I27" s="25">
        <v>14.0</v>
      </c>
      <c r="J27" s="26">
        <f t="shared" si="2"/>
        <v>76</v>
      </c>
      <c r="K27" s="27"/>
      <c r="L27" s="28"/>
      <c r="M27" s="29"/>
      <c r="N27" s="30"/>
      <c r="O27" s="31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9.5" customHeight="1">
      <c r="A28" s="19">
        <v>7.0</v>
      </c>
      <c r="B28" s="20" t="s">
        <v>39</v>
      </c>
      <c r="C28" s="21" t="s">
        <v>18</v>
      </c>
      <c r="D28" s="22">
        <v>4.0</v>
      </c>
      <c r="E28" s="23">
        <v>4.0</v>
      </c>
      <c r="F28" s="22"/>
      <c r="G28" s="23"/>
      <c r="H28" s="24">
        <f t="shared" si="1"/>
        <v>180</v>
      </c>
      <c r="I28" s="25">
        <v>3.9</v>
      </c>
      <c r="J28" s="26">
        <f t="shared" si="2"/>
        <v>176.1</v>
      </c>
      <c r="K28" s="27"/>
      <c r="L28" s="28"/>
      <c r="M28" s="29"/>
      <c r="N28" s="30"/>
      <c r="O28" s="31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9.5" customHeight="1">
      <c r="A29" s="19">
        <v>7.0</v>
      </c>
      <c r="B29" s="20" t="s">
        <v>22</v>
      </c>
      <c r="C29" s="21" t="s">
        <v>18</v>
      </c>
      <c r="D29" s="22">
        <v>2.0</v>
      </c>
      <c r="E29" s="23">
        <v>2.0</v>
      </c>
      <c r="F29" s="22"/>
      <c r="G29" s="23"/>
      <c r="H29" s="24">
        <f t="shared" si="1"/>
        <v>90</v>
      </c>
      <c r="I29" s="25">
        <v>11.2</v>
      </c>
      <c r="J29" s="26">
        <f t="shared" si="2"/>
        <v>78.8</v>
      </c>
      <c r="K29" s="27"/>
      <c r="L29" s="28"/>
      <c r="M29" s="29"/>
      <c r="N29" s="30"/>
      <c r="O29" s="31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9.5" customHeight="1">
      <c r="A30" s="19">
        <v>7.0</v>
      </c>
      <c r="B30" s="20" t="s">
        <v>40</v>
      </c>
      <c r="C30" s="21" t="s">
        <v>18</v>
      </c>
      <c r="D30" s="22">
        <v>2.0</v>
      </c>
      <c r="E30" s="23">
        <v>2.0</v>
      </c>
      <c r="F30" s="22"/>
      <c r="G30" s="23"/>
      <c r="H30" s="24">
        <f t="shared" si="1"/>
        <v>90</v>
      </c>
      <c r="I30" s="25">
        <v>36.9</v>
      </c>
      <c r="J30" s="26">
        <f t="shared" si="2"/>
        <v>53.1</v>
      </c>
      <c r="K30" s="27"/>
      <c r="L30" s="28"/>
      <c r="M30" s="29"/>
      <c r="N30" s="30"/>
      <c r="O30" s="31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9.5" customHeight="1">
      <c r="A31" s="19">
        <v>7.0</v>
      </c>
      <c r="B31" s="20" t="s">
        <v>41</v>
      </c>
      <c r="C31" s="21" t="s">
        <v>18</v>
      </c>
      <c r="D31" s="22">
        <v>2.0</v>
      </c>
      <c r="E31" s="23">
        <v>2.0</v>
      </c>
      <c r="F31" s="22"/>
      <c r="G31" s="23"/>
      <c r="H31" s="24">
        <f t="shared" si="1"/>
        <v>90</v>
      </c>
      <c r="I31" s="25"/>
      <c r="J31" s="26">
        <f t="shared" si="2"/>
        <v>90</v>
      </c>
      <c r="K31" s="27"/>
      <c r="L31" s="28"/>
      <c r="M31" s="29"/>
      <c r="N31" s="30"/>
      <c r="O31" s="31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9.5" customHeight="1">
      <c r="A32" s="19">
        <v>7.0</v>
      </c>
      <c r="B32" s="20" t="s">
        <v>42</v>
      </c>
      <c r="C32" s="21" t="s">
        <v>18</v>
      </c>
      <c r="D32" s="22">
        <v>3.0</v>
      </c>
      <c r="E32" s="23">
        <v>3.0</v>
      </c>
      <c r="F32" s="22"/>
      <c r="G32" s="23"/>
      <c r="H32" s="24">
        <f t="shared" si="1"/>
        <v>135</v>
      </c>
      <c r="I32" s="25">
        <v>5.4</v>
      </c>
      <c r="J32" s="26">
        <f t="shared" si="2"/>
        <v>129.6</v>
      </c>
      <c r="K32" s="27"/>
      <c r="L32" s="28"/>
      <c r="M32" s="29"/>
      <c r="N32" s="30"/>
      <c r="O32" s="31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9.5" customHeight="1">
      <c r="A33" s="19">
        <v>7.0</v>
      </c>
      <c r="B33" s="20" t="s">
        <v>43</v>
      </c>
      <c r="C33" s="21" t="s">
        <v>18</v>
      </c>
      <c r="D33" s="22">
        <v>2.0</v>
      </c>
      <c r="E33" s="23"/>
      <c r="F33" s="22"/>
      <c r="G33" s="23"/>
      <c r="H33" s="24">
        <f t="shared" si="1"/>
        <v>90</v>
      </c>
      <c r="I33" s="25"/>
      <c r="J33" s="26">
        <f t="shared" si="2"/>
        <v>90</v>
      </c>
      <c r="K33" s="27"/>
      <c r="L33" s="28"/>
      <c r="M33" s="29"/>
      <c r="N33" s="30"/>
      <c r="O33" s="31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9.5" customHeight="1">
      <c r="A34" s="19">
        <v>7.0</v>
      </c>
      <c r="B34" s="20" t="s">
        <v>38</v>
      </c>
      <c r="C34" s="21" t="s">
        <v>18</v>
      </c>
      <c r="D34" s="22"/>
      <c r="E34" s="23"/>
      <c r="F34" s="22"/>
      <c r="G34" s="23"/>
      <c r="H34" s="24">
        <f t="shared" si="1"/>
        <v>0</v>
      </c>
      <c r="I34" s="25"/>
      <c r="J34" s="26">
        <f t="shared" si="2"/>
        <v>0</v>
      </c>
      <c r="K34" s="27"/>
      <c r="L34" s="28"/>
      <c r="M34" s="29"/>
      <c r="N34" s="30"/>
      <c r="O34" s="31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9.5" customHeight="1">
      <c r="A35" s="19">
        <v>7.0</v>
      </c>
      <c r="B35" s="20" t="s">
        <v>38</v>
      </c>
      <c r="C35" s="21" t="s">
        <v>18</v>
      </c>
      <c r="D35" s="22"/>
      <c r="E35" s="23"/>
      <c r="F35" s="22"/>
      <c r="G35" s="23"/>
      <c r="H35" s="24">
        <f t="shared" si="1"/>
        <v>0</v>
      </c>
      <c r="I35" s="25"/>
      <c r="J35" s="26">
        <f t="shared" si="2"/>
        <v>0</v>
      </c>
      <c r="K35" s="27"/>
      <c r="L35" s="28"/>
      <c r="M35" s="29"/>
      <c r="N35" s="30"/>
      <c r="O35" s="31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9.5" customHeight="1">
      <c r="A36" s="19">
        <v>7.0</v>
      </c>
      <c r="B36" s="20" t="s">
        <v>44</v>
      </c>
      <c r="C36" s="21" t="s">
        <v>18</v>
      </c>
      <c r="D36" s="22"/>
      <c r="E36" s="23"/>
      <c r="F36" s="22">
        <v>1.0</v>
      </c>
      <c r="G36" s="23">
        <v>1.0</v>
      </c>
      <c r="H36" s="24">
        <f t="shared" si="1"/>
        <v>12</v>
      </c>
      <c r="I36" s="25"/>
      <c r="J36" s="26">
        <f t="shared" si="2"/>
        <v>12</v>
      </c>
      <c r="K36" s="27"/>
      <c r="L36" s="28"/>
      <c r="M36" s="29"/>
      <c r="N36" s="30"/>
      <c r="O36" s="31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9.5" customHeight="1">
      <c r="A37" s="19">
        <v>8.0</v>
      </c>
      <c r="B37" s="20" t="s">
        <v>27</v>
      </c>
      <c r="C37" s="21" t="s">
        <v>18</v>
      </c>
      <c r="D37" s="22">
        <v>4.0</v>
      </c>
      <c r="E37" s="23">
        <v>4.0</v>
      </c>
      <c r="F37" s="22"/>
      <c r="G37" s="23"/>
      <c r="H37" s="24">
        <f t="shared" si="1"/>
        <v>180</v>
      </c>
      <c r="I37" s="25"/>
      <c r="J37" s="26">
        <f t="shared" si="2"/>
        <v>180</v>
      </c>
      <c r="K37" s="27"/>
      <c r="L37" s="28"/>
      <c r="M37" s="29"/>
      <c r="N37" s="30"/>
      <c r="O37" s="31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9.5" customHeight="1">
      <c r="A38" s="19">
        <v>9.0</v>
      </c>
      <c r="B38" s="20" t="s">
        <v>26</v>
      </c>
      <c r="C38" s="21" t="s">
        <v>18</v>
      </c>
      <c r="D38" s="22">
        <v>1.0</v>
      </c>
      <c r="E38" s="23">
        <v>1.0</v>
      </c>
      <c r="F38" s="22"/>
      <c r="G38" s="23"/>
      <c r="H38" s="24">
        <f t="shared" si="1"/>
        <v>45</v>
      </c>
      <c r="I38" s="25"/>
      <c r="J38" s="26">
        <f t="shared" si="2"/>
        <v>45</v>
      </c>
      <c r="K38" s="27"/>
      <c r="L38" s="28"/>
      <c r="M38" s="29"/>
      <c r="N38" s="30"/>
      <c r="O38" s="31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9.5" customHeight="1">
      <c r="A39" s="19">
        <v>9.0</v>
      </c>
      <c r="B39" s="20" t="s">
        <v>45</v>
      </c>
      <c r="C39" s="21" t="s">
        <v>18</v>
      </c>
      <c r="D39" s="22">
        <v>10.0</v>
      </c>
      <c r="E39" s="23">
        <v>10.0</v>
      </c>
      <c r="F39" s="22"/>
      <c r="G39" s="23"/>
      <c r="H39" s="24">
        <f t="shared" si="1"/>
        <v>450</v>
      </c>
      <c r="I39" s="25">
        <v>46.3</v>
      </c>
      <c r="J39" s="26">
        <f t="shared" si="2"/>
        <v>403.7</v>
      </c>
      <c r="K39" s="27"/>
      <c r="L39" s="28"/>
      <c r="M39" s="29"/>
      <c r="N39" s="30"/>
      <c r="O39" s="31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9.5" customHeight="1">
      <c r="A40" s="19">
        <v>9.0</v>
      </c>
      <c r="B40" s="20" t="s">
        <v>46</v>
      </c>
      <c r="C40" s="21" t="s">
        <v>18</v>
      </c>
      <c r="D40" s="22">
        <v>3.0</v>
      </c>
      <c r="E40" s="23">
        <v>3.0</v>
      </c>
      <c r="F40" s="22"/>
      <c r="G40" s="23"/>
      <c r="H40" s="24">
        <f t="shared" si="1"/>
        <v>135</v>
      </c>
      <c r="I40" s="25"/>
      <c r="J40" s="26">
        <f t="shared" si="2"/>
        <v>135</v>
      </c>
      <c r="K40" s="27"/>
      <c r="L40" s="28"/>
      <c r="M40" s="29"/>
      <c r="N40" s="30"/>
      <c r="O40" s="31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9.5" customHeight="1">
      <c r="A41" s="19">
        <v>10.0</v>
      </c>
      <c r="B41" s="20" t="s">
        <v>22</v>
      </c>
      <c r="C41" s="21" t="s">
        <v>18</v>
      </c>
      <c r="D41" s="22">
        <v>2.0</v>
      </c>
      <c r="E41" s="23">
        <v>2.0</v>
      </c>
      <c r="F41" s="22"/>
      <c r="G41" s="23"/>
      <c r="H41" s="24">
        <f t="shared" si="1"/>
        <v>90</v>
      </c>
      <c r="I41" s="25">
        <v>40.7</v>
      </c>
      <c r="J41" s="26">
        <f t="shared" si="2"/>
        <v>49.3</v>
      </c>
      <c r="K41" s="27"/>
      <c r="L41" s="28"/>
      <c r="M41" s="29"/>
      <c r="N41" s="30"/>
      <c r="O41" s="31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9.5" customHeight="1">
      <c r="A42" s="19">
        <v>10.0</v>
      </c>
      <c r="B42" s="20" t="s">
        <v>47</v>
      </c>
      <c r="C42" s="21" t="s">
        <v>18</v>
      </c>
      <c r="D42" s="22">
        <v>2.0</v>
      </c>
      <c r="E42" s="23">
        <v>2.0</v>
      </c>
      <c r="F42" s="22">
        <v>3.0</v>
      </c>
      <c r="G42" s="23">
        <v>2.0</v>
      </c>
      <c r="H42" s="24">
        <f t="shared" si="1"/>
        <v>126</v>
      </c>
      <c r="I42" s="25">
        <v>51.1</v>
      </c>
      <c r="J42" s="26">
        <f t="shared" si="2"/>
        <v>74.9</v>
      </c>
      <c r="K42" s="27"/>
      <c r="L42" s="28"/>
      <c r="M42" s="29"/>
      <c r="N42" s="30"/>
      <c r="O42" s="31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9.5" customHeight="1">
      <c r="A43" s="19">
        <v>11.0</v>
      </c>
      <c r="B43" s="20" t="s">
        <v>48</v>
      </c>
      <c r="C43" s="21" t="s">
        <v>18</v>
      </c>
      <c r="D43" s="22">
        <v>1.0</v>
      </c>
      <c r="E43" s="23">
        <v>1.0</v>
      </c>
      <c r="F43" s="22"/>
      <c r="G43" s="23"/>
      <c r="H43" s="24">
        <f t="shared" si="1"/>
        <v>45</v>
      </c>
      <c r="I43" s="25"/>
      <c r="J43" s="26">
        <f t="shared" si="2"/>
        <v>45</v>
      </c>
      <c r="K43" s="27"/>
      <c r="L43" s="28"/>
      <c r="M43" s="29"/>
      <c r="N43" s="30"/>
      <c r="O43" s="31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9.5" customHeight="1">
      <c r="A44" s="19">
        <v>11.0</v>
      </c>
      <c r="B44" s="20" t="s">
        <v>49</v>
      </c>
      <c r="C44" s="21" t="s">
        <v>18</v>
      </c>
      <c r="D44" s="22">
        <v>2.0</v>
      </c>
      <c r="E44" s="23">
        <v>2.0</v>
      </c>
      <c r="F44" s="22"/>
      <c r="G44" s="23"/>
      <c r="H44" s="24">
        <f t="shared" si="1"/>
        <v>90</v>
      </c>
      <c r="I44" s="25"/>
      <c r="J44" s="26">
        <f t="shared" si="2"/>
        <v>90</v>
      </c>
      <c r="K44" s="27"/>
      <c r="L44" s="28"/>
      <c r="M44" s="29"/>
      <c r="N44" s="30"/>
      <c r="O44" s="31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9.5" customHeight="1">
      <c r="A45" s="19">
        <v>11.0</v>
      </c>
      <c r="B45" s="20" t="s">
        <v>28</v>
      </c>
      <c r="C45" s="21" t="s">
        <v>18</v>
      </c>
      <c r="D45" s="22">
        <v>10.0</v>
      </c>
      <c r="E45" s="23">
        <v>10.0</v>
      </c>
      <c r="F45" s="22"/>
      <c r="G45" s="23"/>
      <c r="H45" s="24">
        <f t="shared" si="1"/>
        <v>450</v>
      </c>
      <c r="I45" s="25">
        <v>31.9</v>
      </c>
      <c r="J45" s="26">
        <f t="shared" si="2"/>
        <v>418.1</v>
      </c>
      <c r="K45" s="27"/>
      <c r="L45" s="28"/>
      <c r="M45" s="29"/>
      <c r="N45" s="30"/>
      <c r="O45" s="31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9.5" customHeight="1">
      <c r="A46" s="19">
        <v>11.0</v>
      </c>
      <c r="B46" s="20" t="s">
        <v>27</v>
      </c>
      <c r="C46" s="21" t="s">
        <v>18</v>
      </c>
      <c r="D46" s="22">
        <v>4.0</v>
      </c>
      <c r="E46" s="23">
        <v>4.0</v>
      </c>
      <c r="F46" s="22"/>
      <c r="G46" s="23"/>
      <c r="H46" s="24">
        <f t="shared" si="1"/>
        <v>180</v>
      </c>
      <c r="I46" s="25"/>
      <c r="J46" s="26">
        <f t="shared" si="2"/>
        <v>180</v>
      </c>
      <c r="K46" s="27"/>
      <c r="L46" s="28"/>
      <c r="M46" s="29"/>
      <c r="N46" s="30"/>
      <c r="O46" s="31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9.5" customHeight="1">
      <c r="A47" s="19">
        <v>11.0</v>
      </c>
      <c r="B47" s="20" t="s">
        <v>50</v>
      </c>
      <c r="C47" s="21" t="s">
        <v>18</v>
      </c>
      <c r="D47" s="22"/>
      <c r="E47" s="23">
        <v>2.0</v>
      </c>
      <c r="F47" s="22"/>
      <c r="G47" s="23"/>
      <c r="H47" s="24">
        <f t="shared" si="1"/>
        <v>0</v>
      </c>
      <c r="I47" s="25">
        <v>29.4</v>
      </c>
      <c r="J47" s="26">
        <f t="shared" si="2"/>
        <v>-29.4</v>
      </c>
      <c r="K47" s="27"/>
      <c r="L47" s="28"/>
      <c r="M47" s="29"/>
      <c r="N47" s="30"/>
      <c r="O47" s="31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9.5" customHeight="1">
      <c r="A48" s="19">
        <v>11.0</v>
      </c>
      <c r="B48" s="20" t="s">
        <v>51</v>
      </c>
      <c r="C48" s="21" t="s">
        <v>18</v>
      </c>
      <c r="D48" s="22">
        <v>3.0</v>
      </c>
      <c r="E48" s="23">
        <v>3.0</v>
      </c>
      <c r="F48" s="22"/>
      <c r="G48" s="23"/>
      <c r="H48" s="24">
        <f t="shared" si="1"/>
        <v>135</v>
      </c>
      <c r="I48" s="25">
        <v>5.0</v>
      </c>
      <c r="J48" s="26">
        <f t="shared" si="2"/>
        <v>130</v>
      </c>
      <c r="K48" s="27"/>
      <c r="L48" s="28"/>
      <c r="M48" s="29"/>
      <c r="N48" s="30"/>
      <c r="O48" s="31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9.5" customHeight="1">
      <c r="A49" s="19">
        <v>12.0</v>
      </c>
      <c r="B49" s="20" t="s">
        <v>23</v>
      </c>
      <c r="C49" s="21" t="s">
        <v>18</v>
      </c>
      <c r="D49" s="22">
        <v>2.0</v>
      </c>
      <c r="E49" s="23">
        <v>2.0</v>
      </c>
      <c r="F49" s="22"/>
      <c r="G49" s="23"/>
      <c r="H49" s="24">
        <f t="shared" si="1"/>
        <v>90</v>
      </c>
      <c r="I49" s="25">
        <v>3.9</v>
      </c>
      <c r="J49" s="26">
        <f t="shared" si="2"/>
        <v>86.1</v>
      </c>
      <c r="K49" s="27"/>
      <c r="L49" s="28"/>
      <c r="M49" s="29"/>
      <c r="N49" s="30"/>
      <c r="O49" s="31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9.5" customHeight="1">
      <c r="A50" s="19">
        <v>12.0</v>
      </c>
      <c r="B50" s="20" t="s">
        <v>52</v>
      </c>
      <c r="C50" s="21" t="s">
        <v>18</v>
      </c>
      <c r="D50" s="22">
        <v>1.0</v>
      </c>
      <c r="E50" s="23">
        <v>1.0</v>
      </c>
      <c r="F50" s="22"/>
      <c r="G50" s="23"/>
      <c r="H50" s="24">
        <f t="shared" si="1"/>
        <v>45</v>
      </c>
      <c r="I50" s="25"/>
      <c r="J50" s="26">
        <f t="shared" si="2"/>
        <v>45</v>
      </c>
      <c r="K50" s="27"/>
      <c r="L50" s="28"/>
      <c r="M50" s="29"/>
      <c r="N50" s="30"/>
      <c r="O50" s="31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9.5" customHeight="1">
      <c r="A51" s="19">
        <v>12.0</v>
      </c>
      <c r="B51" s="20" t="s">
        <v>53</v>
      </c>
      <c r="C51" s="21" t="s">
        <v>18</v>
      </c>
      <c r="D51" s="22">
        <v>4.0</v>
      </c>
      <c r="E51" s="23">
        <v>4.0</v>
      </c>
      <c r="F51" s="22"/>
      <c r="G51" s="23"/>
      <c r="H51" s="24">
        <f t="shared" si="1"/>
        <v>180</v>
      </c>
      <c r="I51" s="25"/>
      <c r="J51" s="26">
        <f t="shared" si="2"/>
        <v>180</v>
      </c>
      <c r="K51" s="27"/>
      <c r="L51" s="28"/>
      <c r="M51" s="29"/>
      <c r="N51" s="30"/>
      <c r="O51" s="31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9.5" customHeight="1">
      <c r="A52" s="19">
        <v>13.0</v>
      </c>
      <c r="B52" s="20" t="s">
        <v>25</v>
      </c>
      <c r="C52" s="21" t="s">
        <v>18</v>
      </c>
      <c r="D52" s="22"/>
      <c r="E52" s="23"/>
      <c r="F52" s="22">
        <v>10.0</v>
      </c>
      <c r="G52" s="23">
        <v>11.0</v>
      </c>
      <c r="H52" s="24">
        <f t="shared" si="1"/>
        <v>120</v>
      </c>
      <c r="I52" s="25"/>
      <c r="J52" s="26">
        <f t="shared" si="2"/>
        <v>120</v>
      </c>
      <c r="K52" s="27"/>
      <c r="L52" s="28"/>
      <c r="M52" s="29"/>
      <c r="N52" s="30"/>
      <c r="O52" s="31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9.5" customHeight="1">
      <c r="A53" s="19">
        <v>13.0</v>
      </c>
      <c r="B53" s="20" t="s">
        <v>22</v>
      </c>
      <c r="C53" s="21" t="s">
        <v>18</v>
      </c>
      <c r="D53" s="22">
        <v>2.0</v>
      </c>
      <c r="E53" s="23">
        <v>2.0</v>
      </c>
      <c r="F53" s="22"/>
      <c r="G53" s="23"/>
      <c r="H53" s="24">
        <f t="shared" si="1"/>
        <v>90</v>
      </c>
      <c r="I53" s="25">
        <v>12.1</v>
      </c>
      <c r="J53" s="26">
        <f t="shared" si="2"/>
        <v>77.9</v>
      </c>
      <c r="K53" s="27"/>
      <c r="L53" s="28"/>
      <c r="M53" s="29"/>
      <c r="N53" s="30"/>
      <c r="O53" s="31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9.5" customHeight="1">
      <c r="A54" s="19">
        <v>13.0</v>
      </c>
      <c r="B54" s="20" t="s">
        <v>37</v>
      </c>
      <c r="C54" s="21" t="s">
        <v>18</v>
      </c>
      <c r="D54" s="22">
        <v>2.0</v>
      </c>
      <c r="E54" s="23">
        <v>2.0</v>
      </c>
      <c r="F54" s="22"/>
      <c r="G54" s="23"/>
      <c r="H54" s="24">
        <f t="shared" si="1"/>
        <v>90</v>
      </c>
      <c r="I54" s="25">
        <v>2.6</v>
      </c>
      <c r="J54" s="26">
        <f t="shared" si="2"/>
        <v>87.4</v>
      </c>
      <c r="K54" s="27"/>
      <c r="L54" s="28"/>
      <c r="M54" s="29"/>
      <c r="N54" s="30"/>
      <c r="O54" s="31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9.5" customHeight="1">
      <c r="A55" s="19">
        <v>13.0</v>
      </c>
      <c r="B55" s="20" t="s">
        <v>26</v>
      </c>
      <c r="C55" s="21" t="s">
        <v>18</v>
      </c>
      <c r="D55" s="22">
        <v>1.0</v>
      </c>
      <c r="E55" s="23">
        <v>1.0</v>
      </c>
      <c r="F55" s="22"/>
      <c r="G55" s="23"/>
      <c r="H55" s="24">
        <f t="shared" si="1"/>
        <v>45</v>
      </c>
      <c r="I55" s="25">
        <v>15.5</v>
      </c>
      <c r="J55" s="26">
        <f t="shared" si="2"/>
        <v>29.5</v>
      </c>
      <c r="K55" s="27"/>
      <c r="L55" s="28"/>
      <c r="M55" s="29"/>
      <c r="N55" s="30"/>
      <c r="O55" s="31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9.5" customHeight="1">
      <c r="A56" s="19">
        <v>14.0</v>
      </c>
      <c r="B56" s="20" t="s">
        <v>54</v>
      </c>
      <c r="C56" s="21" t="s">
        <v>18</v>
      </c>
      <c r="D56" s="22"/>
      <c r="E56" s="23">
        <v>6.0</v>
      </c>
      <c r="F56" s="22"/>
      <c r="G56" s="23"/>
      <c r="H56" s="24">
        <f t="shared" si="1"/>
        <v>0</v>
      </c>
      <c r="I56" s="25">
        <v>5.3</v>
      </c>
      <c r="J56" s="26">
        <f t="shared" si="2"/>
        <v>-5.3</v>
      </c>
      <c r="K56" s="27"/>
      <c r="L56" s="28"/>
      <c r="M56" s="29"/>
      <c r="N56" s="30"/>
      <c r="O56" s="31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9.5" customHeight="1">
      <c r="A57" s="19">
        <v>14.0</v>
      </c>
      <c r="B57" s="20" t="s">
        <v>55</v>
      </c>
      <c r="C57" s="21" t="s">
        <v>18</v>
      </c>
      <c r="D57" s="22"/>
      <c r="E57" s="23">
        <v>3.0</v>
      </c>
      <c r="F57" s="22"/>
      <c r="G57" s="23">
        <v>1.0</v>
      </c>
      <c r="H57" s="24">
        <f t="shared" si="1"/>
        <v>0</v>
      </c>
      <c r="I57" s="25">
        <v>7.2</v>
      </c>
      <c r="J57" s="26">
        <f t="shared" si="2"/>
        <v>-7.2</v>
      </c>
      <c r="K57" s="27"/>
      <c r="L57" s="28"/>
      <c r="M57" s="29"/>
      <c r="N57" s="30"/>
      <c r="O57" s="31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9.5" customHeight="1">
      <c r="A58" s="19">
        <v>14.0</v>
      </c>
      <c r="B58" s="20" t="s">
        <v>49</v>
      </c>
      <c r="C58" s="21" t="s">
        <v>18</v>
      </c>
      <c r="D58" s="22">
        <v>2.0</v>
      </c>
      <c r="E58" s="23">
        <v>2.0</v>
      </c>
      <c r="F58" s="22"/>
      <c r="G58" s="23"/>
      <c r="H58" s="24">
        <f t="shared" si="1"/>
        <v>90</v>
      </c>
      <c r="I58" s="25">
        <v>4.7</v>
      </c>
      <c r="J58" s="26">
        <f t="shared" si="2"/>
        <v>85.3</v>
      </c>
      <c r="K58" s="27"/>
      <c r="L58" s="28"/>
      <c r="M58" s="29"/>
      <c r="N58" s="30"/>
      <c r="O58" s="31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9.5" customHeight="1">
      <c r="A59" s="19">
        <v>15.0</v>
      </c>
      <c r="B59" s="20" t="s">
        <v>56</v>
      </c>
      <c r="C59" s="21" t="s">
        <v>18</v>
      </c>
      <c r="D59" s="22">
        <v>11.0</v>
      </c>
      <c r="E59" s="23">
        <v>16.0</v>
      </c>
      <c r="F59" s="22"/>
      <c r="G59" s="23"/>
      <c r="H59" s="24">
        <f t="shared" si="1"/>
        <v>495</v>
      </c>
      <c r="I59" s="25"/>
      <c r="J59" s="26">
        <f t="shared" si="2"/>
        <v>495</v>
      </c>
      <c r="K59" s="27"/>
      <c r="L59" s="28"/>
      <c r="M59" s="29"/>
      <c r="N59" s="30"/>
      <c r="O59" s="31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9.5" customHeight="1">
      <c r="A60" s="19">
        <v>15.0</v>
      </c>
      <c r="B60" s="20" t="s">
        <v>40</v>
      </c>
      <c r="C60" s="21" t="s">
        <v>18</v>
      </c>
      <c r="D60" s="22">
        <v>3.0</v>
      </c>
      <c r="E60" s="23">
        <v>3.0</v>
      </c>
      <c r="F60" s="22"/>
      <c r="G60" s="23"/>
      <c r="H60" s="24">
        <f t="shared" si="1"/>
        <v>135</v>
      </c>
      <c r="I60" s="25">
        <v>8.8</v>
      </c>
      <c r="J60" s="26">
        <f t="shared" si="2"/>
        <v>126.2</v>
      </c>
      <c r="K60" s="27"/>
      <c r="L60" s="28"/>
      <c r="M60" s="29"/>
      <c r="N60" s="30"/>
      <c r="O60" s="31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9.5" customHeight="1">
      <c r="A61" s="19">
        <v>15.0</v>
      </c>
      <c r="B61" s="20" t="s">
        <v>38</v>
      </c>
      <c r="C61" s="21" t="s">
        <v>18</v>
      </c>
      <c r="D61" s="22"/>
      <c r="E61" s="23"/>
      <c r="F61" s="22"/>
      <c r="G61" s="23"/>
      <c r="H61" s="24">
        <f t="shared" si="1"/>
        <v>0</v>
      </c>
      <c r="I61" s="25"/>
      <c r="J61" s="26">
        <f t="shared" si="2"/>
        <v>0</v>
      </c>
      <c r="K61" s="27"/>
      <c r="L61" s="28"/>
      <c r="M61" s="29"/>
      <c r="N61" s="30"/>
      <c r="O61" s="31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9.5" customHeight="1">
      <c r="A62" s="19">
        <v>16.0</v>
      </c>
      <c r="B62" s="20" t="s">
        <v>57</v>
      </c>
      <c r="C62" s="21" t="s">
        <v>18</v>
      </c>
      <c r="D62" s="22"/>
      <c r="E62" s="23"/>
      <c r="F62" s="22"/>
      <c r="G62" s="23"/>
      <c r="H62" s="24">
        <f t="shared" si="1"/>
        <v>0</v>
      </c>
      <c r="I62" s="25"/>
      <c r="J62" s="26">
        <f t="shared" si="2"/>
        <v>0</v>
      </c>
      <c r="K62" s="27"/>
      <c r="L62" s="28"/>
      <c r="M62" s="29"/>
      <c r="N62" s="30"/>
      <c r="O62" s="31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9.5" customHeight="1">
      <c r="A63" s="19">
        <v>16.0</v>
      </c>
      <c r="B63" s="20" t="s">
        <v>58</v>
      </c>
      <c r="C63" s="21" t="s">
        <v>18</v>
      </c>
      <c r="D63" s="22"/>
      <c r="E63" s="23"/>
      <c r="F63" s="22"/>
      <c r="G63" s="23"/>
      <c r="H63" s="24">
        <f t="shared" si="1"/>
        <v>0</v>
      </c>
      <c r="I63" s="25"/>
      <c r="J63" s="26">
        <f t="shared" si="2"/>
        <v>0</v>
      </c>
      <c r="K63" s="27"/>
      <c r="L63" s="28"/>
      <c r="M63" s="29"/>
      <c r="N63" s="30"/>
      <c r="O63" s="31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9.5" customHeight="1">
      <c r="A64" s="19">
        <v>16.0</v>
      </c>
      <c r="B64" s="20" t="s">
        <v>57</v>
      </c>
      <c r="C64" s="21" t="s">
        <v>18</v>
      </c>
      <c r="D64" s="22"/>
      <c r="E64" s="23"/>
      <c r="F64" s="22"/>
      <c r="G64" s="23"/>
      <c r="H64" s="24">
        <f t="shared" si="1"/>
        <v>0</v>
      </c>
      <c r="I64" s="25"/>
      <c r="J64" s="26">
        <f t="shared" si="2"/>
        <v>0</v>
      </c>
      <c r="K64" s="27"/>
      <c r="L64" s="28"/>
      <c r="M64" s="29"/>
      <c r="N64" s="30"/>
      <c r="O64" s="31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9.5" customHeight="1">
      <c r="A65" s="19">
        <v>17.0</v>
      </c>
      <c r="B65" s="20" t="s">
        <v>59</v>
      </c>
      <c r="C65" s="21" t="s">
        <v>18</v>
      </c>
      <c r="D65" s="22">
        <v>3.0</v>
      </c>
      <c r="E65" s="23">
        <v>3.0</v>
      </c>
      <c r="F65" s="22"/>
      <c r="G65" s="23"/>
      <c r="H65" s="24">
        <f t="shared" si="1"/>
        <v>135</v>
      </c>
      <c r="I65" s="25">
        <v>15.7</v>
      </c>
      <c r="J65" s="26">
        <f t="shared" si="2"/>
        <v>119.3</v>
      </c>
      <c r="K65" s="27"/>
      <c r="L65" s="28"/>
      <c r="M65" s="29"/>
      <c r="N65" s="30"/>
      <c r="O65" s="31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9.5" customHeight="1">
      <c r="A66" s="19">
        <v>17.0</v>
      </c>
      <c r="B66" s="20" t="s">
        <v>27</v>
      </c>
      <c r="C66" s="21" t="s">
        <v>18</v>
      </c>
      <c r="D66" s="22">
        <v>4.0</v>
      </c>
      <c r="E66" s="23">
        <v>4.0</v>
      </c>
      <c r="F66" s="22"/>
      <c r="G66" s="23"/>
      <c r="H66" s="24">
        <f t="shared" si="1"/>
        <v>180</v>
      </c>
      <c r="I66" s="25"/>
      <c r="J66" s="26">
        <f t="shared" si="2"/>
        <v>180</v>
      </c>
      <c r="K66" s="27"/>
      <c r="L66" s="28"/>
      <c r="M66" s="29"/>
      <c r="N66" s="30"/>
      <c r="O66" s="31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9.5" customHeight="1">
      <c r="A67" s="19">
        <v>18.0</v>
      </c>
      <c r="B67" s="20" t="s">
        <v>32</v>
      </c>
      <c r="C67" s="21" t="s">
        <v>18</v>
      </c>
      <c r="D67" s="22">
        <v>2.0</v>
      </c>
      <c r="E67" s="23">
        <v>2.0</v>
      </c>
      <c r="F67" s="22"/>
      <c r="G67" s="23"/>
      <c r="H67" s="24">
        <f t="shared" si="1"/>
        <v>90</v>
      </c>
      <c r="I67" s="25">
        <v>3.6</v>
      </c>
      <c r="J67" s="26">
        <f t="shared" si="2"/>
        <v>86.4</v>
      </c>
      <c r="K67" s="27"/>
      <c r="L67" s="28"/>
      <c r="M67" s="29"/>
      <c r="N67" s="30"/>
      <c r="O67" s="31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9.5" customHeight="1">
      <c r="A68" s="19">
        <v>18.0</v>
      </c>
      <c r="B68" s="20" t="s">
        <v>60</v>
      </c>
      <c r="C68" s="21" t="s">
        <v>18</v>
      </c>
      <c r="D68" s="22">
        <v>3.0</v>
      </c>
      <c r="E68" s="23">
        <v>3.0</v>
      </c>
      <c r="F68" s="22"/>
      <c r="G68" s="23"/>
      <c r="H68" s="24">
        <f t="shared" si="1"/>
        <v>135</v>
      </c>
      <c r="I68" s="25">
        <v>6.5</v>
      </c>
      <c r="J68" s="26">
        <f t="shared" si="2"/>
        <v>128.5</v>
      </c>
      <c r="K68" s="27"/>
      <c r="L68" s="28"/>
      <c r="M68" s="29"/>
      <c r="N68" s="30"/>
      <c r="O68" s="31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9.5" customHeight="1">
      <c r="A69" s="19">
        <v>18.0</v>
      </c>
      <c r="B69" s="20" t="s">
        <v>22</v>
      </c>
      <c r="C69" s="21" t="s">
        <v>18</v>
      </c>
      <c r="D69" s="22">
        <v>2.0</v>
      </c>
      <c r="E69" s="23">
        <v>2.0</v>
      </c>
      <c r="F69" s="22">
        <v>1.0</v>
      </c>
      <c r="G69" s="23">
        <v>1.0</v>
      </c>
      <c r="H69" s="24">
        <f t="shared" si="1"/>
        <v>102</v>
      </c>
      <c r="I69" s="25">
        <v>8.7</v>
      </c>
      <c r="J69" s="26">
        <f t="shared" si="2"/>
        <v>93.3</v>
      </c>
      <c r="K69" s="27"/>
      <c r="L69" s="28"/>
      <c r="M69" s="29"/>
      <c r="N69" s="30"/>
      <c r="O69" s="31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9.5" customHeight="1">
      <c r="A70" s="19">
        <v>18.0</v>
      </c>
      <c r="B70" s="20" t="s">
        <v>24</v>
      </c>
      <c r="C70" s="21" t="s">
        <v>18</v>
      </c>
      <c r="D70" s="22">
        <v>2.0</v>
      </c>
      <c r="E70" s="23">
        <v>2.0</v>
      </c>
      <c r="F70" s="22"/>
      <c r="G70" s="23"/>
      <c r="H70" s="24">
        <f t="shared" si="1"/>
        <v>90</v>
      </c>
      <c r="I70" s="25">
        <v>6.0</v>
      </c>
      <c r="J70" s="26">
        <f t="shared" si="2"/>
        <v>84</v>
      </c>
      <c r="K70" s="27"/>
      <c r="L70" s="28"/>
      <c r="M70" s="29"/>
      <c r="N70" s="30"/>
      <c r="O70" s="31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9.5" customHeight="1">
      <c r="A71" s="19">
        <v>18.0</v>
      </c>
      <c r="B71" s="20" t="s">
        <v>37</v>
      </c>
      <c r="C71" s="21" t="s">
        <v>18</v>
      </c>
      <c r="D71" s="22">
        <v>2.0</v>
      </c>
      <c r="E71" s="23">
        <v>2.0</v>
      </c>
      <c r="F71" s="22"/>
      <c r="G71" s="23"/>
      <c r="H71" s="24">
        <f t="shared" si="1"/>
        <v>90</v>
      </c>
      <c r="I71" s="25">
        <v>7.4</v>
      </c>
      <c r="J71" s="26">
        <f t="shared" si="2"/>
        <v>82.6</v>
      </c>
      <c r="K71" s="27"/>
      <c r="L71" s="28"/>
      <c r="M71" s="29"/>
      <c r="N71" s="30"/>
      <c r="O71" s="31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9.5" customHeight="1">
      <c r="A72" s="19">
        <v>1.0</v>
      </c>
      <c r="B72" s="20" t="s">
        <v>61</v>
      </c>
      <c r="C72" s="21" t="s">
        <v>62</v>
      </c>
      <c r="D72" s="22">
        <v>10.0</v>
      </c>
      <c r="E72" s="23">
        <v>10.0</v>
      </c>
      <c r="F72" s="22"/>
      <c r="G72" s="23"/>
      <c r="H72" s="24">
        <f t="shared" si="1"/>
        <v>450</v>
      </c>
      <c r="I72" s="25">
        <v>37.3</v>
      </c>
      <c r="J72" s="26">
        <f t="shared" si="2"/>
        <v>412.7</v>
      </c>
      <c r="K72" s="27"/>
      <c r="L72" s="28"/>
      <c r="M72" s="29"/>
      <c r="N72" s="30"/>
      <c r="O72" s="31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9.5" customHeight="1">
      <c r="A73" s="19">
        <v>6.0</v>
      </c>
      <c r="B73" s="20" t="s">
        <v>63</v>
      </c>
      <c r="C73" s="21" t="s">
        <v>62</v>
      </c>
      <c r="D73" s="22">
        <v>1.0</v>
      </c>
      <c r="E73" s="23">
        <v>1.0</v>
      </c>
      <c r="F73" s="22"/>
      <c r="G73" s="23"/>
      <c r="H73" s="24">
        <f t="shared" si="1"/>
        <v>45</v>
      </c>
      <c r="I73" s="25"/>
      <c r="J73" s="26">
        <f t="shared" si="2"/>
        <v>45</v>
      </c>
      <c r="K73" s="27"/>
      <c r="L73" s="28"/>
      <c r="M73" s="29"/>
      <c r="N73" s="30"/>
      <c r="O73" s="31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9.5" customHeight="1">
      <c r="A74" s="19">
        <v>6.0</v>
      </c>
      <c r="B74" s="20" t="s">
        <v>64</v>
      </c>
      <c r="C74" s="21" t="s">
        <v>62</v>
      </c>
      <c r="D74" s="22">
        <v>8.0</v>
      </c>
      <c r="E74" s="23">
        <v>8.0</v>
      </c>
      <c r="F74" s="22"/>
      <c r="G74" s="23"/>
      <c r="H74" s="24">
        <f t="shared" si="1"/>
        <v>360</v>
      </c>
      <c r="I74" s="25"/>
      <c r="J74" s="26">
        <f t="shared" si="2"/>
        <v>360</v>
      </c>
      <c r="K74" s="27"/>
      <c r="L74" s="28"/>
      <c r="M74" s="29"/>
      <c r="N74" s="30"/>
      <c r="O74" s="31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9.5" customHeight="1">
      <c r="A75" s="19">
        <v>6.0</v>
      </c>
      <c r="B75" s="20" t="s">
        <v>65</v>
      </c>
      <c r="C75" s="21" t="s">
        <v>62</v>
      </c>
      <c r="D75" s="22">
        <v>4.0</v>
      </c>
      <c r="E75" s="23">
        <v>4.0</v>
      </c>
      <c r="F75" s="22">
        <v>1.0</v>
      </c>
      <c r="G75" s="23">
        <v>1.0</v>
      </c>
      <c r="H75" s="24">
        <f t="shared" si="1"/>
        <v>192</v>
      </c>
      <c r="I75" s="25">
        <f>11.9+1.9+2.1</f>
        <v>15.9</v>
      </c>
      <c r="J75" s="26">
        <f t="shared" si="2"/>
        <v>176.1</v>
      </c>
      <c r="K75" s="27"/>
      <c r="L75" s="28"/>
      <c r="M75" s="29" t="s">
        <v>30</v>
      </c>
      <c r="N75" s="30"/>
      <c r="O75" s="31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9.5" customHeight="1">
      <c r="A76" s="19">
        <v>6.0</v>
      </c>
      <c r="B76" s="20" t="s">
        <v>66</v>
      </c>
      <c r="C76" s="21" t="s">
        <v>62</v>
      </c>
      <c r="D76" s="22">
        <v>4.0</v>
      </c>
      <c r="E76" s="23">
        <v>4.0</v>
      </c>
      <c r="F76" s="22"/>
      <c r="G76" s="23"/>
      <c r="H76" s="24">
        <f t="shared" si="1"/>
        <v>180</v>
      </c>
      <c r="I76" s="25">
        <v>33.5</v>
      </c>
      <c r="J76" s="26">
        <f t="shared" si="2"/>
        <v>146.5</v>
      </c>
      <c r="K76" s="27"/>
      <c r="L76" s="28"/>
      <c r="M76" s="29"/>
      <c r="N76" s="30"/>
      <c r="O76" s="31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9.5" customHeight="1">
      <c r="A77" s="19">
        <v>6.0</v>
      </c>
      <c r="B77" s="20" t="s">
        <v>67</v>
      </c>
      <c r="C77" s="21" t="s">
        <v>62</v>
      </c>
      <c r="D77" s="22">
        <v>4.0</v>
      </c>
      <c r="E77" s="23">
        <v>4.0</v>
      </c>
      <c r="F77" s="22"/>
      <c r="G77" s="23"/>
      <c r="H77" s="24">
        <f t="shared" si="1"/>
        <v>180</v>
      </c>
      <c r="I77" s="25">
        <v>81.4</v>
      </c>
      <c r="J77" s="26">
        <f t="shared" si="2"/>
        <v>98.6</v>
      </c>
      <c r="K77" s="27"/>
      <c r="L77" s="28"/>
      <c r="M77" s="29" t="s">
        <v>30</v>
      </c>
      <c r="N77" s="30"/>
      <c r="O77" s="31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9.5" customHeight="1">
      <c r="A78" s="19">
        <v>9.0</v>
      </c>
      <c r="B78" s="20" t="s">
        <v>61</v>
      </c>
      <c r="C78" s="21" t="s">
        <v>62</v>
      </c>
      <c r="D78" s="22">
        <v>10.0</v>
      </c>
      <c r="E78" s="23">
        <v>10.0</v>
      </c>
      <c r="F78" s="22"/>
      <c r="G78" s="23"/>
      <c r="H78" s="24">
        <f t="shared" si="1"/>
        <v>450</v>
      </c>
      <c r="I78" s="25">
        <v>49.4</v>
      </c>
      <c r="J78" s="26">
        <f t="shared" si="2"/>
        <v>400.6</v>
      </c>
      <c r="K78" s="27"/>
      <c r="L78" s="28"/>
      <c r="M78" s="29"/>
      <c r="N78" s="30"/>
      <c r="O78" s="31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9.5" customHeight="1">
      <c r="A79" s="19">
        <v>12.0</v>
      </c>
      <c r="B79" s="20" t="s">
        <v>68</v>
      </c>
      <c r="C79" s="21" t="s">
        <v>62</v>
      </c>
      <c r="D79" s="22">
        <v>6.0</v>
      </c>
      <c r="E79" s="23">
        <v>6.0</v>
      </c>
      <c r="F79" s="22"/>
      <c r="G79" s="23"/>
      <c r="H79" s="24">
        <f t="shared" si="1"/>
        <v>270</v>
      </c>
      <c r="I79" s="25">
        <v>30.5</v>
      </c>
      <c r="J79" s="26">
        <f t="shared" si="2"/>
        <v>239.5</v>
      </c>
      <c r="K79" s="27"/>
      <c r="L79" s="28"/>
      <c r="M79" s="29" t="s">
        <v>30</v>
      </c>
      <c r="N79" s="30"/>
      <c r="O79" s="31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9.5" customHeight="1">
      <c r="A80" s="19">
        <v>13.0</v>
      </c>
      <c r="B80" s="20" t="s">
        <v>66</v>
      </c>
      <c r="C80" s="21" t="s">
        <v>62</v>
      </c>
      <c r="D80" s="22">
        <v>4.0</v>
      </c>
      <c r="E80" s="23">
        <v>4.0</v>
      </c>
      <c r="F80" s="22"/>
      <c r="G80" s="23"/>
      <c r="H80" s="24">
        <f t="shared" si="1"/>
        <v>180</v>
      </c>
      <c r="I80" s="25">
        <v>30.8</v>
      </c>
      <c r="J80" s="26">
        <f t="shared" si="2"/>
        <v>149.2</v>
      </c>
      <c r="K80" s="27"/>
      <c r="L80" s="28"/>
      <c r="M80" s="29"/>
      <c r="N80" s="30"/>
      <c r="O80" s="31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9.5" customHeight="1">
      <c r="A81" s="19">
        <v>13.0</v>
      </c>
      <c r="B81" s="20" t="s">
        <v>65</v>
      </c>
      <c r="C81" s="21" t="s">
        <v>62</v>
      </c>
      <c r="D81" s="22">
        <v>2.0</v>
      </c>
      <c r="E81" s="23">
        <v>2.0</v>
      </c>
      <c r="F81" s="22">
        <v>1.0</v>
      </c>
      <c r="G81" s="23">
        <v>1.0</v>
      </c>
      <c r="H81" s="24">
        <f t="shared" si="1"/>
        <v>102</v>
      </c>
      <c r="I81" s="25">
        <f> 7.1+7.4</f>
        <v>14.5</v>
      </c>
      <c r="J81" s="26">
        <f t="shared" si="2"/>
        <v>87.5</v>
      </c>
      <c r="K81" s="27"/>
      <c r="L81" s="28"/>
      <c r="M81" s="29" t="s">
        <v>30</v>
      </c>
      <c r="N81" s="30"/>
      <c r="O81" s="31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9.5" customHeight="1">
      <c r="A82" s="19">
        <v>13.0</v>
      </c>
      <c r="B82" s="20" t="s">
        <v>69</v>
      </c>
      <c r="C82" s="21" t="s">
        <v>62</v>
      </c>
      <c r="D82" s="22"/>
      <c r="E82" s="23">
        <v>2.0</v>
      </c>
      <c r="F82" s="22"/>
      <c r="G82" s="23"/>
      <c r="H82" s="24">
        <f t="shared" si="1"/>
        <v>0</v>
      </c>
      <c r="I82" s="25"/>
      <c r="J82" s="26">
        <f t="shared" si="2"/>
        <v>0</v>
      </c>
      <c r="K82" s="27"/>
      <c r="L82" s="28"/>
      <c r="M82" s="29"/>
      <c r="N82" s="30"/>
      <c r="O82" s="31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9.5" customHeight="1">
      <c r="A83" s="19">
        <v>13.0</v>
      </c>
      <c r="B83" s="20" t="s">
        <v>70</v>
      </c>
      <c r="C83" s="21" t="s">
        <v>62</v>
      </c>
      <c r="D83" s="22">
        <v>2.0</v>
      </c>
      <c r="E83" s="23"/>
      <c r="F83" s="22"/>
      <c r="G83" s="23"/>
      <c r="H83" s="24">
        <f t="shared" si="1"/>
        <v>90</v>
      </c>
      <c r="I83" s="25"/>
      <c r="J83" s="26">
        <f t="shared" si="2"/>
        <v>90</v>
      </c>
      <c r="K83" s="27"/>
      <c r="L83" s="28"/>
      <c r="M83" s="29"/>
      <c r="N83" s="30"/>
      <c r="O83" s="31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9.5" customHeight="1">
      <c r="A84" s="19">
        <v>15.0</v>
      </c>
      <c r="B84" s="20" t="s">
        <v>71</v>
      </c>
      <c r="C84" s="21" t="s">
        <v>62</v>
      </c>
      <c r="D84" s="32">
        <v>2.0</v>
      </c>
      <c r="E84" s="23"/>
      <c r="F84" s="22">
        <v>2.0</v>
      </c>
      <c r="G84" s="23"/>
      <c r="H84" s="33">
        <f>D84*20</f>
        <v>40</v>
      </c>
      <c r="I84" s="25"/>
      <c r="J84" s="26">
        <f t="shared" si="2"/>
        <v>40</v>
      </c>
      <c r="K84" s="27"/>
      <c r="L84" s="28"/>
      <c r="M84" s="29"/>
      <c r="N84" s="30"/>
      <c r="O84" s="31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9.5" customHeight="1">
      <c r="A85" s="19">
        <v>16.0</v>
      </c>
      <c r="B85" s="20" t="s">
        <v>61</v>
      </c>
      <c r="C85" s="21" t="s">
        <v>62</v>
      </c>
      <c r="D85" s="22">
        <v>10.0</v>
      </c>
      <c r="E85" s="23">
        <v>10.0</v>
      </c>
      <c r="F85" s="22"/>
      <c r="G85" s="23"/>
      <c r="H85" s="24">
        <f t="shared" ref="H85:H118" si="3">D85*45+F85*12</f>
        <v>450</v>
      </c>
      <c r="I85" s="25">
        <v>39.6</v>
      </c>
      <c r="J85" s="26">
        <f t="shared" si="2"/>
        <v>410.4</v>
      </c>
      <c r="K85" s="27"/>
      <c r="L85" s="28"/>
      <c r="M85" s="29"/>
      <c r="N85" s="30"/>
      <c r="O85" s="31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9.5" customHeight="1">
      <c r="A86" s="19">
        <v>16.0</v>
      </c>
      <c r="B86" s="20" t="s">
        <v>72</v>
      </c>
      <c r="C86" s="21" t="s">
        <v>62</v>
      </c>
      <c r="D86" s="22">
        <v>4.0</v>
      </c>
      <c r="E86" s="23">
        <v>0.0</v>
      </c>
      <c r="F86" s="22"/>
      <c r="G86" s="23"/>
      <c r="H86" s="24">
        <f t="shared" si="3"/>
        <v>180</v>
      </c>
      <c r="I86" s="25"/>
      <c r="J86" s="26">
        <f t="shared" si="2"/>
        <v>180</v>
      </c>
      <c r="K86" s="27"/>
      <c r="L86" s="28"/>
      <c r="M86" s="29"/>
      <c r="N86" s="30"/>
      <c r="O86" s="31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9.5" customHeight="1">
      <c r="A87" s="19">
        <v>16.0</v>
      </c>
      <c r="B87" s="20" t="s">
        <v>67</v>
      </c>
      <c r="C87" s="21" t="s">
        <v>62</v>
      </c>
      <c r="D87" s="22">
        <v>4.0</v>
      </c>
      <c r="E87" s="23">
        <v>4.0</v>
      </c>
      <c r="F87" s="22"/>
      <c r="G87" s="23"/>
      <c r="H87" s="24">
        <f t="shared" si="3"/>
        <v>180</v>
      </c>
      <c r="I87" s="25">
        <v>63.4</v>
      </c>
      <c r="J87" s="26">
        <f t="shared" si="2"/>
        <v>116.6</v>
      </c>
      <c r="K87" s="27"/>
      <c r="L87" s="28"/>
      <c r="M87" s="29" t="s">
        <v>30</v>
      </c>
      <c r="N87" s="30"/>
      <c r="O87" s="31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9.5" customHeight="1">
      <c r="A88" s="19">
        <v>16.0</v>
      </c>
      <c r="B88" s="20" t="s">
        <v>69</v>
      </c>
      <c r="C88" s="21" t="s">
        <v>62</v>
      </c>
      <c r="D88" s="22">
        <v>0.0</v>
      </c>
      <c r="E88" s="23">
        <v>11.0</v>
      </c>
      <c r="F88" s="22"/>
      <c r="G88" s="23"/>
      <c r="H88" s="24">
        <f t="shared" si="3"/>
        <v>0</v>
      </c>
      <c r="I88" s="25"/>
      <c r="J88" s="26">
        <f t="shared" si="2"/>
        <v>0</v>
      </c>
      <c r="K88" s="27"/>
      <c r="L88" s="28"/>
      <c r="M88" s="29"/>
      <c r="N88" s="30"/>
      <c r="O88" s="31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9.5" customHeight="1">
      <c r="A89" s="19">
        <v>18.0</v>
      </c>
      <c r="B89" s="20" t="s">
        <v>73</v>
      </c>
      <c r="C89" s="21" t="s">
        <v>62</v>
      </c>
      <c r="D89" s="22">
        <v>5.0</v>
      </c>
      <c r="E89" s="23">
        <v>5.0</v>
      </c>
      <c r="F89" s="22"/>
      <c r="G89" s="23"/>
      <c r="H89" s="24">
        <f t="shared" si="3"/>
        <v>225</v>
      </c>
      <c r="I89" s="25">
        <v>3.8</v>
      </c>
      <c r="J89" s="26">
        <f t="shared" si="2"/>
        <v>221.2</v>
      </c>
      <c r="K89" s="27"/>
      <c r="L89" s="28"/>
      <c r="M89" s="29"/>
      <c r="N89" s="30"/>
      <c r="O89" s="31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9.5" customHeight="1">
      <c r="A90" s="19">
        <v>18.0</v>
      </c>
      <c r="B90" s="20" t="s">
        <v>74</v>
      </c>
      <c r="C90" s="21" t="s">
        <v>62</v>
      </c>
      <c r="D90" s="22"/>
      <c r="E90" s="23"/>
      <c r="F90" s="22">
        <v>2.0</v>
      </c>
      <c r="G90" s="23">
        <v>2.0</v>
      </c>
      <c r="H90" s="24">
        <f t="shared" si="3"/>
        <v>24</v>
      </c>
      <c r="I90" s="25"/>
      <c r="J90" s="26">
        <f t="shared" si="2"/>
        <v>24</v>
      </c>
      <c r="K90" s="27"/>
      <c r="L90" s="28"/>
      <c r="M90" s="29"/>
      <c r="N90" s="30"/>
      <c r="O90" s="31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9.5" customHeight="1">
      <c r="A91" s="19">
        <v>7.0</v>
      </c>
      <c r="B91" s="20" t="s">
        <v>75</v>
      </c>
      <c r="C91" s="21" t="s">
        <v>76</v>
      </c>
      <c r="D91" s="22">
        <v>5.0</v>
      </c>
      <c r="E91" s="23">
        <v>4.0</v>
      </c>
      <c r="F91" s="22">
        <v>5.0</v>
      </c>
      <c r="G91" s="23"/>
      <c r="H91" s="24">
        <f t="shared" si="3"/>
        <v>285</v>
      </c>
      <c r="I91" s="25">
        <v>15.5</v>
      </c>
      <c r="J91" s="26">
        <f t="shared" si="2"/>
        <v>269.5</v>
      </c>
      <c r="K91" s="27"/>
      <c r="L91" s="28"/>
      <c r="M91" s="29"/>
      <c r="N91" s="30"/>
      <c r="O91" s="31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9.5" customHeight="1">
      <c r="A92" s="19">
        <v>7.0</v>
      </c>
      <c r="B92" s="20" t="s">
        <v>77</v>
      </c>
      <c r="C92" s="21" t="s">
        <v>76</v>
      </c>
      <c r="D92" s="22">
        <v>4.0</v>
      </c>
      <c r="E92" s="23">
        <v>4.0</v>
      </c>
      <c r="F92" s="22">
        <v>0.0</v>
      </c>
      <c r="G92" s="23">
        <v>1.0</v>
      </c>
      <c r="H92" s="24">
        <f t="shared" si="3"/>
        <v>180</v>
      </c>
      <c r="I92" s="25">
        <f>7.6</f>
        <v>7.6</v>
      </c>
      <c r="J92" s="26">
        <f t="shared" si="2"/>
        <v>172.4</v>
      </c>
      <c r="K92" s="27"/>
      <c r="L92" s="28"/>
      <c r="M92" s="29"/>
      <c r="N92" s="30"/>
      <c r="O92" s="31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9.5" customHeight="1">
      <c r="A93" s="19">
        <v>7.0</v>
      </c>
      <c r="B93" s="20" t="s">
        <v>77</v>
      </c>
      <c r="C93" s="21" t="s">
        <v>76</v>
      </c>
      <c r="D93" s="22">
        <v>2.0</v>
      </c>
      <c r="E93" s="23">
        <v>2.0</v>
      </c>
      <c r="F93" s="22"/>
      <c r="G93" s="23"/>
      <c r="H93" s="24">
        <f t="shared" si="3"/>
        <v>90</v>
      </c>
      <c r="I93" s="25"/>
      <c r="J93" s="26">
        <f t="shared" si="2"/>
        <v>90</v>
      </c>
      <c r="K93" s="27"/>
      <c r="L93" s="28"/>
      <c r="M93" s="29"/>
      <c r="N93" s="30"/>
      <c r="O93" s="31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9.5" customHeight="1">
      <c r="A94" s="19">
        <v>7.0</v>
      </c>
      <c r="B94" s="20" t="s">
        <v>78</v>
      </c>
      <c r="C94" s="21" t="s">
        <v>76</v>
      </c>
      <c r="D94" s="22">
        <v>3.0</v>
      </c>
      <c r="E94" s="23">
        <v>3.0</v>
      </c>
      <c r="F94" s="22"/>
      <c r="G94" s="23"/>
      <c r="H94" s="24">
        <f t="shared" si="3"/>
        <v>135</v>
      </c>
      <c r="I94" s="25">
        <v>3.8</v>
      </c>
      <c r="J94" s="26">
        <f t="shared" si="2"/>
        <v>131.2</v>
      </c>
      <c r="K94" s="27"/>
      <c r="L94" s="28"/>
      <c r="M94" s="29"/>
      <c r="N94" s="30"/>
      <c r="O94" s="31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9.5" customHeight="1">
      <c r="A95" s="19">
        <v>7.0</v>
      </c>
      <c r="B95" s="20" t="s">
        <v>79</v>
      </c>
      <c r="C95" s="21" t="s">
        <v>76</v>
      </c>
      <c r="D95" s="22">
        <v>5.0</v>
      </c>
      <c r="E95" s="23">
        <v>5.0</v>
      </c>
      <c r="F95" s="22"/>
      <c r="G95" s="23"/>
      <c r="H95" s="24">
        <f t="shared" si="3"/>
        <v>225</v>
      </c>
      <c r="I95" s="25">
        <v>13.1</v>
      </c>
      <c r="J95" s="26">
        <f t="shared" si="2"/>
        <v>211.9</v>
      </c>
      <c r="K95" s="27"/>
      <c r="L95" s="28"/>
      <c r="M95" s="29"/>
      <c r="N95" s="30"/>
      <c r="O95" s="31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9.5" customHeight="1">
      <c r="A96" s="19">
        <v>7.0</v>
      </c>
      <c r="B96" s="20" t="s">
        <v>80</v>
      </c>
      <c r="C96" s="21" t="s">
        <v>76</v>
      </c>
      <c r="D96" s="22">
        <v>3.0</v>
      </c>
      <c r="E96" s="23">
        <v>3.0</v>
      </c>
      <c r="F96" s="22"/>
      <c r="G96" s="23"/>
      <c r="H96" s="24">
        <f t="shared" si="3"/>
        <v>135</v>
      </c>
      <c r="I96" s="25">
        <v>5.9</v>
      </c>
      <c r="J96" s="26">
        <f t="shared" si="2"/>
        <v>129.1</v>
      </c>
      <c r="K96" s="27"/>
      <c r="L96" s="28"/>
      <c r="M96" s="29"/>
      <c r="N96" s="30"/>
      <c r="O96" s="31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9.5" customHeight="1">
      <c r="A97" s="19">
        <v>7.0</v>
      </c>
      <c r="B97" s="20" t="s">
        <v>81</v>
      </c>
      <c r="C97" s="21" t="s">
        <v>76</v>
      </c>
      <c r="D97" s="22">
        <v>4.0</v>
      </c>
      <c r="E97" s="23">
        <v>4.0</v>
      </c>
      <c r="F97" s="22"/>
      <c r="G97" s="23"/>
      <c r="H97" s="24">
        <f t="shared" si="3"/>
        <v>180</v>
      </c>
      <c r="I97" s="25">
        <v>5.1</v>
      </c>
      <c r="J97" s="26">
        <f t="shared" si="2"/>
        <v>174.9</v>
      </c>
      <c r="K97" s="27"/>
      <c r="L97" s="28"/>
      <c r="M97" s="29" t="s">
        <v>30</v>
      </c>
      <c r="N97" s="30"/>
      <c r="O97" s="31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9.5" customHeight="1">
      <c r="A98" s="19">
        <v>7.0</v>
      </c>
      <c r="B98" s="20" t="s">
        <v>82</v>
      </c>
      <c r="C98" s="21" t="s">
        <v>76</v>
      </c>
      <c r="D98" s="22">
        <v>2.0</v>
      </c>
      <c r="E98" s="23">
        <v>2.0</v>
      </c>
      <c r="F98" s="22">
        <v>1.0</v>
      </c>
      <c r="G98" s="23">
        <v>2.0</v>
      </c>
      <c r="H98" s="24">
        <f t="shared" si="3"/>
        <v>102</v>
      </c>
      <c r="I98" s="25">
        <v>6.3</v>
      </c>
      <c r="J98" s="26">
        <f t="shared" si="2"/>
        <v>95.7</v>
      </c>
      <c r="K98" s="27"/>
      <c r="L98" s="28"/>
      <c r="M98" s="29"/>
      <c r="N98" s="30"/>
      <c r="O98" s="31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9.5" customHeight="1">
      <c r="A99" s="19">
        <v>7.0</v>
      </c>
      <c r="B99" s="20" t="s">
        <v>83</v>
      </c>
      <c r="C99" s="21" t="s">
        <v>76</v>
      </c>
      <c r="D99" s="22">
        <v>2.0</v>
      </c>
      <c r="E99" s="23">
        <v>2.0</v>
      </c>
      <c r="F99" s="22"/>
      <c r="G99" s="23"/>
      <c r="H99" s="24">
        <f t="shared" si="3"/>
        <v>90</v>
      </c>
      <c r="I99" s="25">
        <v>4.5</v>
      </c>
      <c r="J99" s="26">
        <f t="shared" si="2"/>
        <v>85.5</v>
      </c>
      <c r="K99" s="27"/>
      <c r="L99" s="28"/>
      <c r="M99" s="29"/>
      <c r="N99" s="30"/>
      <c r="O99" s="31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9.5" customHeight="1">
      <c r="A100" s="19">
        <v>8.0</v>
      </c>
      <c r="B100" s="20" t="s">
        <v>77</v>
      </c>
      <c r="C100" s="21" t="s">
        <v>76</v>
      </c>
      <c r="D100" s="22">
        <v>3.0</v>
      </c>
      <c r="E100" s="23">
        <v>3.0</v>
      </c>
      <c r="F100" s="22">
        <v>2.0</v>
      </c>
      <c r="G100" s="23">
        <v>1.0</v>
      </c>
      <c r="H100" s="24">
        <f t="shared" si="3"/>
        <v>159</v>
      </c>
      <c r="I100" s="25"/>
      <c r="J100" s="26">
        <f t="shared" si="2"/>
        <v>159</v>
      </c>
      <c r="K100" s="27"/>
      <c r="L100" s="28"/>
      <c r="M100" s="29"/>
      <c r="N100" s="30"/>
      <c r="O100" s="31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9.5" customHeight="1">
      <c r="A101" s="19">
        <v>9.0</v>
      </c>
      <c r="B101" s="20" t="s">
        <v>83</v>
      </c>
      <c r="C101" s="21" t="s">
        <v>76</v>
      </c>
      <c r="D101" s="22">
        <v>2.0</v>
      </c>
      <c r="E101" s="23">
        <v>2.0</v>
      </c>
      <c r="F101" s="22"/>
      <c r="G101" s="23"/>
      <c r="H101" s="24">
        <f t="shared" si="3"/>
        <v>90</v>
      </c>
      <c r="I101" s="25">
        <v>6.9</v>
      </c>
      <c r="J101" s="26">
        <f t="shared" si="2"/>
        <v>83.1</v>
      </c>
      <c r="K101" s="27"/>
      <c r="L101" s="28"/>
      <c r="M101" s="29"/>
      <c r="N101" s="30"/>
      <c r="O101" s="31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9.5" customHeight="1">
      <c r="A102" s="19">
        <v>11.0</v>
      </c>
      <c r="B102" s="20" t="s">
        <v>77</v>
      </c>
      <c r="C102" s="21" t="s">
        <v>76</v>
      </c>
      <c r="D102" s="22">
        <v>3.0</v>
      </c>
      <c r="E102" s="23">
        <v>3.0</v>
      </c>
      <c r="F102" s="22"/>
      <c r="G102" s="23"/>
      <c r="H102" s="24">
        <f t="shared" si="3"/>
        <v>135</v>
      </c>
      <c r="I102" s="25">
        <v>2.7</v>
      </c>
      <c r="J102" s="26">
        <f t="shared" si="2"/>
        <v>132.3</v>
      </c>
      <c r="K102" s="27"/>
      <c r="L102" s="28"/>
      <c r="M102" s="29"/>
      <c r="N102" s="30"/>
      <c r="O102" s="31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9.5" customHeight="1">
      <c r="A103" s="19">
        <v>13.0</v>
      </c>
      <c r="B103" s="20" t="s">
        <v>84</v>
      </c>
      <c r="C103" s="21" t="s">
        <v>76</v>
      </c>
      <c r="D103" s="22">
        <v>8.0</v>
      </c>
      <c r="E103" s="23">
        <v>8.0</v>
      </c>
      <c r="F103" s="22"/>
      <c r="G103" s="23"/>
      <c r="H103" s="24">
        <f t="shared" si="3"/>
        <v>360</v>
      </c>
      <c r="I103" s="25">
        <v>9.9</v>
      </c>
      <c r="J103" s="26">
        <f t="shared" si="2"/>
        <v>350.1</v>
      </c>
      <c r="K103" s="27"/>
      <c r="L103" s="28"/>
      <c r="M103" s="29"/>
      <c r="N103" s="30"/>
      <c r="O103" s="31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9.5" customHeight="1">
      <c r="A104" s="19">
        <v>13.0</v>
      </c>
      <c r="B104" s="20" t="s">
        <v>75</v>
      </c>
      <c r="C104" s="21" t="s">
        <v>76</v>
      </c>
      <c r="D104" s="22">
        <v>5.0</v>
      </c>
      <c r="E104" s="23">
        <v>4.0</v>
      </c>
      <c r="F104" s="22">
        <v>1.0</v>
      </c>
      <c r="G104" s="23">
        <v>1.0</v>
      </c>
      <c r="H104" s="24">
        <f t="shared" si="3"/>
        <v>237</v>
      </c>
      <c r="I104" s="25">
        <v>6.9</v>
      </c>
      <c r="J104" s="26">
        <f t="shared" si="2"/>
        <v>230.1</v>
      </c>
      <c r="K104" s="27"/>
      <c r="L104" s="28"/>
      <c r="M104" s="29"/>
      <c r="N104" s="30"/>
      <c r="O104" s="31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9.5" hidden="1" customHeight="1">
      <c r="A105" s="19">
        <v>18.0</v>
      </c>
      <c r="B105" s="20" t="s">
        <v>85</v>
      </c>
      <c r="C105" s="21" t="s">
        <v>76</v>
      </c>
      <c r="D105" s="22">
        <v>5.0</v>
      </c>
      <c r="E105" s="23">
        <v>5.0</v>
      </c>
      <c r="F105" s="22"/>
      <c r="G105" s="23">
        <v>1.0</v>
      </c>
      <c r="H105" s="24">
        <f t="shared" si="3"/>
        <v>225</v>
      </c>
      <c r="I105" s="25">
        <v>12.5</v>
      </c>
      <c r="J105" s="26">
        <f t="shared" si="2"/>
        <v>212.5</v>
      </c>
      <c r="K105" s="27"/>
      <c r="L105" s="28"/>
      <c r="M105" s="29"/>
      <c r="N105" s="30"/>
      <c r="O105" s="31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9.5" customHeight="1">
      <c r="A106" s="19">
        <v>19.0</v>
      </c>
      <c r="B106" s="20" t="s">
        <v>77</v>
      </c>
      <c r="C106" s="21" t="s">
        <v>76</v>
      </c>
      <c r="D106" s="22">
        <v>4.0</v>
      </c>
      <c r="E106" s="23">
        <v>4.0</v>
      </c>
      <c r="F106" s="22">
        <v>2.0</v>
      </c>
      <c r="G106" s="23">
        <v>2.0</v>
      </c>
      <c r="H106" s="24">
        <f t="shared" si="3"/>
        <v>204</v>
      </c>
      <c r="I106" s="25"/>
      <c r="J106" s="26">
        <f t="shared" si="2"/>
        <v>204</v>
      </c>
      <c r="K106" s="27"/>
      <c r="L106" s="28"/>
      <c r="M106" s="29"/>
      <c r="N106" s="30"/>
      <c r="O106" s="31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9.5" customHeight="1">
      <c r="A107" s="19">
        <v>18.0</v>
      </c>
      <c r="B107" s="20" t="s">
        <v>77</v>
      </c>
      <c r="C107" s="21" t="s">
        <v>76</v>
      </c>
      <c r="D107" s="22">
        <v>4.0</v>
      </c>
      <c r="E107" s="23">
        <v>4.0</v>
      </c>
      <c r="F107" s="22"/>
      <c r="G107" s="23"/>
      <c r="H107" s="24">
        <f t="shared" si="3"/>
        <v>180</v>
      </c>
      <c r="I107" s="25">
        <v>6.3999999999999995</v>
      </c>
      <c r="J107" s="26">
        <f t="shared" si="2"/>
        <v>173.6</v>
      </c>
      <c r="K107" s="27"/>
      <c r="L107" s="28"/>
      <c r="M107" s="29"/>
      <c r="N107" s="30"/>
      <c r="O107" s="31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4.25" customHeight="1">
      <c r="A108" s="19">
        <v>19.0</v>
      </c>
      <c r="B108" s="20" t="s">
        <v>86</v>
      </c>
      <c r="C108" s="21" t="s">
        <v>18</v>
      </c>
      <c r="D108" s="22">
        <v>3.0</v>
      </c>
      <c r="E108" s="23"/>
      <c r="F108" s="22">
        <v>3.0</v>
      </c>
      <c r="G108" s="23"/>
      <c r="H108" s="24">
        <f t="shared" si="3"/>
        <v>171</v>
      </c>
      <c r="I108" s="25"/>
      <c r="J108" s="26">
        <f t="shared" si="2"/>
        <v>171</v>
      </c>
      <c r="K108" s="27"/>
      <c r="L108" s="28"/>
      <c r="M108" s="29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19">
        <v>19.0</v>
      </c>
      <c r="B109" s="20" t="s">
        <v>36</v>
      </c>
      <c r="C109" s="21" t="s">
        <v>18</v>
      </c>
      <c r="D109" s="22">
        <v>6.0</v>
      </c>
      <c r="E109" s="23">
        <v>2.0</v>
      </c>
      <c r="F109" s="22">
        <v>6.0</v>
      </c>
      <c r="G109" s="23">
        <v>2.0</v>
      </c>
      <c r="H109" s="24">
        <f t="shared" si="3"/>
        <v>342</v>
      </c>
      <c r="I109" s="34">
        <v>16.1</v>
      </c>
      <c r="J109" s="26">
        <f t="shared" si="2"/>
        <v>325.9</v>
      </c>
      <c r="K109" s="27"/>
      <c r="L109" s="28"/>
      <c r="M109" s="29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19">
        <v>19.0</v>
      </c>
      <c r="B110" s="20" t="s">
        <v>28</v>
      </c>
      <c r="C110" s="21" t="s">
        <v>18</v>
      </c>
      <c r="D110" s="22">
        <v>10.0</v>
      </c>
      <c r="E110" s="23"/>
      <c r="F110" s="22">
        <v>10.0</v>
      </c>
      <c r="G110" s="23"/>
      <c r="H110" s="24">
        <f t="shared" si="3"/>
        <v>570</v>
      </c>
      <c r="I110" s="25">
        <v>90.8</v>
      </c>
      <c r="J110" s="26">
        <f t="shared" si="2"/>
        <v>479.2</v>
      </c>
      <c r="K110" s="27"/>
      <c r="L110" s="28"/>
      <c r="M110" s="29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19">
        <v>19.0</v>
      </c>
      <c r="B111" s="20" t="s">
        <v>45</v>
      </c>
      <c r="C111" s="21" t="s">
        <v>18</v>
      </c>
      <c r="D111" s="22">
        <v>10.0</v>
      </c>
      <c r="E111" s="23"/>
      <c r="F111" s="22">
        <v>10.0</v>
      </c>
      <c r="G111" s="23"/>
      <c r="H111" s="24">
        <f t="shared" si="3"/>
        <v>570</v>
      </c>
      <c r="I111" s="25">
        <v>76.1</v>
      </c>
      <c r="J111" s="26">
        <f t="shared" si="2"/>
        <v>493.9</v>
      </c>
      <c r="K111" s="27"/>
      <c r="L111" s="28"/>
      <c r="M111" s="29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19">
        <v>19.0</v>
      </c>
      <c r="B112" s="20" t="s">
        <v>87</v>
      </c>
      <c r="C112" s="21" t="s">
        <v>18</v>
      </c>
      <c r="D112" s="22">
        <v>1.0</v>
      </c>
      <c r="E112" s="23"/>
      <c r="F112" s="22">
        <v>1.0</v>
      </c>
      <c r="G112" s="23"/>
      <c r="H112" s="24">
        <f t="shared" si="3"/>
        <v>57</v>
      </c>
      <c r="I112" s="25"/>
      <c r="J112" s="26">
        <f t="shared" si="2"/>
        <v>57</v>
      </c>
      <c r="K112" s="27"/>
      <c r="L112" s="28"/>
      <c r="M112" s="29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19">
        <v>20.0</v>
      </c>
      <c r="B113" s="20" t="s">
        <v>22</v>
      </c>
      <c r="C113" s="21" t="s">
        <v>18</v>
      </c>
      <c r="D113" s="22">
        <v>2.0</v>
      </c>
      <c r="E113" s="23">
        <v>2.0</v>
      </c>
      <c r="F113" s="22">
        <v>0.0</v>
      </c>
      <c r="G113" s="23">
        <v>0.0</v>
      </c>
      <c r="H113" s="24">
        <f t="shared" si="3"/>
        <v>90</v>
      </c>
      <c r="I113" s="25">
        <v>16.5</v>
      </c>
      <c r="J113" s="26">
        <f t="shared" si="2"/>
        <v>73.5</v>
      </c>
      <c r="K113" s="27"/>
      <c r="L113" s="28"/>
      <c r="M113" s="29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19">
        <v>20.0</v>
      </c>
      <c r="B114" s="20" t="s">
        <v>27</v>
      </c>
      <c r="C114" s="21" t="s">
        <v>18</v>
      </c>
      <c r="D114" s="22">
        <v>2.0</v>
      </c>
      <c r="E114" s="23">
        <v>2.0</v>
      </c>
      <c r="F114" s="22">
        <v>0.0</v>
      </c>
      <c r="G114" s="23">
        <v>0.0</v>
      </c>
      <c r="H114" s="24">
        <f t="shared" si="3"/>
        <v>90</v>
      </c>
      <c r="I114" s="25"/>
      <c r="J114" s="26">
        <f t="shared" si="2"/>
        <v>90</v>
      </c>
      <c r="K114" s="27"/>
      <c r="L114" s="28"/>
      <c r="M114" s="29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19">
        <v>21.0</v>
      </c>
      <c r="B115" s="20" t="s">
        <v>23</v>
      </c>
      <c r="C115" s="21" t="s">
        <v>18</v>
      </c>
      <c r="D115" s="22">
        <v>2.0</v>
      </c>
      <c r="E115" s="23">
        <v>2.0</v>
      </c>
      <c r="F115" s="22">
        <v>0.0</v>
      </c>
      <c r="G115" s="23">
        <v>0.0</v>
      </c>
      <c r="H115" s="24">
        <f t="shared" si="3"/>
        <v>90</v>
      </c>
      <c r="I115" s="25"/>
      <c r="J115" s="26"/>
      <c r="K115" s="27"/>
      <c r="L115" s="28"/>
      <c r="M115" s="29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19">
        <v>21.0</v>
      </c>
      <c r="B116" s="20" t="s">
        <v>88</v>
      </c>
      <c r="C116" s="21" t="s">
        <v>18</v>
      </c>
      <c r="D116" s="22">
        <v>2.0</v>
      </c>
      <c r="E116" s="23">
        <v>2.0</v>
      </c>
      <c r="F116" s="22">
        <v>0.0</v>
      </c>
      <c r="G116" s="23">
        <v>0.0</v>
      </c>
      <c r="H116" s="24">
        <f t="shared" si="3"/>
        <v>90</v>
      </c>
      <c r="I116" s="25"/>
      <c r="J116" s="26"/>
      <c r="K116" s="27"/>
      <c r="L116" s="28"/>
      <c r="M116" s="29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19">
        <v>21.0</v>
      </c>
      <c r="B117" s="20" t="s">
        <v>42</v>
      </c>
      <c r="C117" s="21" t="s">
        <v>18</v>
      </c>
      <c r="D117" s="22">
        <v>4.0</v>
      </c>
      <c r="E117" s="23">
        <v>4.0</v>
      </c>
      <c r="F117" s="22">
        <v>0.0</v>
      </c>
      <c r="G117" s="23">
        <v>0.0</v>
      </c>
      <c r="H117" s="24">
        <f t="shared" si="3"/>
        <v>180</v>
      </c>
      <c r="I117" s="25"/>
      <c r="J117" s="26"/>
      <c r="K117" s="27"/>
      <c r="L117" s="28"/>
      <c r="M117" s="29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19">
        <v>21.0</v>
      </c>
      <c r="B118" s="20" t="s">
        <v>40</v>
      </c>
      <c r="C118" s="21" t="s">
        <v>18</v>
      </c>
      <c r="D118" s="22">
        <v>3.0</v>
      </c>
      <c r="E118" s="23">
        <v>3.0</v>
      </c>
      <c r="F118" s="22">
        <v>0.0</v>
      </c>
      <c r="G118" s="23">
        <v>0.0</v>
      </c>
      <c r="H118" s="24">
        <f t="shared" si="3"/>
        <v>135</v>
      </c>
      <c r="I118" s="25"/>
      <c r="J118" s="26"/>
      <c r="K118" s="27"/>
      <c r="L118" s="28"/>
      <c r="M118" s="29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9.5" customHeight="1">
      <c r="A119" s="19">
        <v>20.0</v>
      </c>
      <c r="B119" s="20" t="s">
        <v>89</v>
      </c>
      <c r="C119" s="21" t="s">
        <v>62</v>
      </c>
      <c r="D119" s="22">
        <v>10.0</v>
      </c>
      <c r="E119" s="23">
        <v>10.0</v>
      </c>
      <c r="F119" s="22"/>
      <c r="G119" s="23"/>
      <c r="H119" s="24"/>
      <c r="I119" s="25">
        <v>16.4</v>
      </c>
      <c r="J119" s="26"/>
      <c r="K119" s="27"/>
      <c r="L119" s="28"/>
      <c r="M119" s="29"/>
      <c r="N119" s="30"/>
      <c r="O119" s="31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9.5" customHeight="1">
      <c r="A120" s="19">
        <v>20.0</v>
      </c>
      <c r="B120" s="20" t="s">
        <v>90</v>
      </c>
      <c r="C120" s="21" t="s">
        <v>62</v>
      </c>
      <c r="D120" s="22">
        <v>15.0</v>
      </c>
      <c r="E120" s="23">
        <v>12.0</v>
      </c>
      <c r="F120" s="22"/>
      <c r="G120" s="23"/>
      <c r="H120" s="24"/>
      <c r="I120" s="25">
        <v>85.9</v>
      </c>
      <c r="J120" s="26"/>
      <c r="K120" s="27"/>
      <c r="L120" s="28"/>
      <c r="M120" s="29"/>
      <c r="N120" s="30"/>
      <c r="O120" s="31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9.5" customHeight="1">
      <c r="A121" s="19">
        <v>21.0</v>
      </c>
      <c r="B121" s="20" t="s">
        <v>65</v>
      </c>
      <c r="C121" s="21" t="s">
        <v>62</v>
      </c>
      <c r="D121" s="22">
        <v>2.0</v>
      </c>
      <c r="E121" s="23">
        <v>2.0</v>
      </c>
      <c r="F121" s="22">
        <v>1.0</v>
      </c>
      <c r="G121" s="23">
        <v>1.0</v>
      </c>
      <c r="H121" s="24"/>
      <c r="I121" s="25">
        <v>5.1</v>
      </c>
      <c r="J121" s="26"/>
      <c r="K121" s="27"/>
      <c r="L121" s="28"/>
      <c r="M121" s="29"/>
      <c r="N121" s="30"/>
      <c r="O121" s="31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9.5" customHeight="1">
      <c r="A122" s="19">
        <v>21.0</v>
      </c>
      <c r="B122" s="20" t="s">
        <v>66</v>
      </c>
      <c r="C122" s="21" t="s">
        <v>62</v>
      </c>
      <c r="D122" s="22">
        <v>4.0</v>
      </c>
      <c r="E122" s="23">
        <v>4.0</v>
      </c>
      <c r="F122" s="22"/>
      <c r="G122" s="23"/>
      <c r="H122" s="24"/>
      <c r="I122" s="25">
        <v>23.8</v>
      </c>
      <c r="J122" s="26"/>
      <c r="K122" s="27"/>
      <c r="L122" s="28"/>
      <c r="M122" s="29"/>
      <c r="N122" s="30"/>
      <c r="O122" s="31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7"/>
      <c r="J123" s="5"/>
      <c r="K123" s="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7"/>
      <c r="J124" s="5"/>
      <c r="K124" s="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7"/>
      <c r="J125" s="5"/>
      <c r="K125" s="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7"/>
      <c r="J126" s="5"/>
      <c r="K126" s="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7"/>
      <c r="J127" s="5"/>
      <c r="K127" s="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7"/>
      <c r="J128" s="5"/>
      <c r="K128" s="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7"/>
      <c r="J129" s="5"/>
      <c r="K129" s="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7"/>
      <c r="J130" s="5"/>
      <c r="K130" s="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7"/>
      <c r="J131" s="5"/>
      <c r="K131" s="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7"/>
      <c r="J132" s="5"/>
      <c r="K132" s="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7"/>
      <c r="J133" s="5"/>
      <c r="K133" s="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7"/>
      <c r="J134" s="5"/>
      <c r="K134" s="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7"/>
      <c r="J135" s="5"/>
      <c r="K135" s="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7"/>
      <c r="J136" s="5"/>
      <c r="K136" s="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7"/>
      <c r="J137" s="5"/>
      <c r="K137" s="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7"/>
      <c r="J138" s="5"/>
      <c r="K138" s="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7"/>
      <c r="J139" s="5"/>
      <c r="K139" s="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7"/>
      <c r="J140" s="5"/>
      <c r="K140" s="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7"/>
      <c r="J141" s="5"/>
      <c r="K141" s="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7"/>
      <c r="J142" s="5"/>
      <c r="K142" s="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7"/>
      <c r="J143" s="5"/>
      <c r="K143" s="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7"/>
      <c r="J144" s="5"/>
      <c r="K144" s="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7"/>
      <c r="J145" s="5"/>
      <c r="K145" s="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7"/>
      <c r="J146" s="5"/>
      <c r="K146" s="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7"/>
      <c r="J147" s="5"/>
      <c r="K147" s="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7"/>
      <c r="J148" s="5"/>
      <c r="K148" s="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7"/>
      <c r="J149" s="5"/>
      <c r="K149" s="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7"/>
      <c r="J150" s="5"/>
      <c r="K150" s="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7"/>
      <c r="J151" s="5"/>
      <c r="K151" s="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7"/>
      <c r="J152" s="5"/>
      <c r="K152" s="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7"/>
      <c r="J153" s="5"/>
      <c r="K153" s="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7"/>
      <c r="J154" s="5"/>
      <c r="K154" s="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7"/>
      <c r="J155" s="5"/>
      <c r="K155" s="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7"/>
      <c r="J156" s="5"/>
      <c r="K156" s="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7"/>
      <c r="J157" s="5"/>
      <c r="K157" s="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7"/>
      <c r="J158" s="5"/>
      <c r="K158" s="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7"/>
      <c r="J159" s="5"/>
      <c r="K159" s="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7"/>
      <c r="J160" s="5"/>
      <c r="K160" s="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7"/>
      <c r="J161" s="5"/>
      <c r="K161" s="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7"/>
      <c r="J162" s="5"/>
      <c r="K162" s="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7"/>
      <c r="J163" s="5"/>
      <c r="K163" s="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7"/>
      <c r="J164" s="5"/>
      <c r="K164" s="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7"/>
      <c r="J165" s="5"/>
      <c r="K165" s="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7"/>
      <c r="J166" s="5"/>
      <c r="K166" s="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7"/>
      <c r="J167" s="5"/>
      <c r="K167" s="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7"/>
      <c r="J168" s="5"/>
      <c r="K168" s="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7"/>
      <c r="J169" s="5"/>
      <c r="K169" s="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7"/>
      <c r="J170" s="5"/>
      <c r="K170" s="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7"/>
      <c r="J171" s="5"/>
      <c r="K171" s="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7"/>
      <c r="J172" s="5"/>
      <c r="K172" s="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7"/>
      <c r="J173" s="5"/>
      <c r="K173" s="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7"/>
      <c r="J174" s="5"/>
      <c r="K174" s="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7"/>
      <c r="J175" s="5"/>
      <c r="K175" s="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7"/>
      <c r="J176" s="5"/>
      <c r="K176" s="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7"/>
      <c r="J177" s="5"/>
      <c r="K177" s="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7"/>
      <c r="J178" s="5"/>
      <c r="K178" s="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7"/>
      <c r="J179" s="5"/>
      <c r="K179" s="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7"/>
      <c r="J180" s="5"/>
      <c r="K180" s="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7"/>
      <c r="J181" s="5"/>
      <c r="K181" s="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7"/>
      <c r="J182" s="5"/>
      <c r="K182" s="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7"/>
      <c r="J183" s="5"/>
      <c r="K183" s="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7"/>
      <c r="J184" s="5"/>
      <c r="K184" s="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7"/>
      <c r="J185" s="5"/>
      <c r="K185" s="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7"/>
      <c r="J186" s="5"/>
      <c r="K186" s="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7"/>
      <c r="J187" s="5"/>
      <c r="K187" s="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7"/>
      <c r="J188" s="5"/>
      <c r="K188" s="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7"/>
      <c r="J189" s="5"/>
      <c r="K189" s="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7"/>
      <c r="J190" s="5"/>
      <c r="K190" s="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7"/>
      <c r="J191" s="5"/>
      <c r="K191" s="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7"/>
      <c r="J192" s="5"/>
      <c r="K192" s="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7"/>
      <c r="J193" s="5"/>
      <c r="K193" s="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7"/>
      <c r="J194" s="5"/>
      <c r="K194" s="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7"/>
      <c r="J195" s="5"/>
      <c r="K195" s="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7"/>
      <c r="J196" s="5"/>
      <c r="K196" s="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7"/>
      <c r="J197" s="5"/>
      <c r="K197" s="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7"/>
      <c r="J198" s="5"/>
      <c r="K198" s="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7"/>
      <c r="J199" s="5"/>
      <c r="K199" s="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7"/>
      <c r="J200" s="5"/>
      <c r="K200" s="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7"/>
      <c r="J201" s="5"/>
      <c r="K201" s="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7"/>
      <c r="J202" s="5"/>
      <c r="K202" s="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7"/>
      <c r="J203" s="5"/>
      <c r="K203" s="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7"/>
      <c r="J204" s="5"/>
      <c r="K204" s="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</sheetData>
  <autoFilter ref="$A$2:$M$122"/>
  <mergeCells count="6">
    <mergeCell ref="A2:A3"/>
    <mergeCell ref="B2:B3"/>
    <mergeCell ref="C2:C3"/>
    <mergeCell ref="K2:K3"/>
    <mergeCell ref="L2:L3"/>
    <mergeCell ref="M2:M3"/>
  </mergeCells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8.0"/>
    <col customWidth="1" min="5" max="6" width="8.71"/>
  </cols>
  <sheetData>
    <row r="1" ht="14.25" customHeight="1">
      <c r="A1" s="35" t="s">
        <v>91</v>
      </c>
      <c r="B1" s="35" t="s">
        <v>92</v>
      </c>
      <c r="C1" s="35" t="s">
        <v>93</v>
      </c>
      <c r="D1" s="35" t="s">
        <v>94</v>
      </c>
    </row>
    <row r="2" ht="14.25" customHeight="1">
      <c r="A2" s="36">
        <v>46082.0</v>
      </c>
      <c r="B2" s="37">
        <v>25821.296296296296</v>
      </c>
      <c r="D2" s="5">
        <v>0.08</v>
      </c>
    </row>
    <row r="3" ht="14.25" customHeight="1">
      <c r="A3" s="36">
        <v>46083.0</v>
      </c>
      <c r="B3" s="37">
        <v>25821.296296296296</v>
      </c>
      <c r="D3" s="5">
        <v>0.08</v>
      </c>
    </row>
    <row r="4" ht="14.25" customHeight="1">
      <c r="A4" s="36">
        <v>46084.0</v>
      </c>
      <c r="B4" s="37">
        <v>25821.296296296296</v>
      </c>
      <c r="C4" s="38">
        <v>26031.0</v>
      </c>
      <c r="D4" s="5">
        <v>0.08</v>
      </c>
    </row>
    <row r="5" ht="14.25" customHeight="1">
      <c r="A5" s="36">
        <v>46085.0</v>
      </c>
      <c r="B5" s="37">
        <v>25821.296296296296</v>
      </c>
      <c r="D5" s="5">
        <v>0.08</v>
      </c>
    </row>
    <row r="6" ht="14.25" customHeight="1">
      <c r="A6" s="36">
        <v>46086.0</v>
      </c>
      <c r="B6" s="37">
        <v>25821.296296296296</v>
      </c>
      <c r="D6" s="5">
        <v>0.08</v>
      </c>
    </row>
    <row r="7" ht="14.25" customHeight="1">
      <c r="A7" s="36">
        <v>46087.0</v>
      </c>
      <c r="B7" s="37">
        <v>25821.296296296296</v>
      </c>
      <c r="D7" s="5">
        <v>0.08</v>
      </c>
    </row>
    <row r="8" ht="14.25" customHeight="1">
      <c r="A8" s="36">
        <v>46088.0</v>
      </c>
      <c r="B8" s="37">
        <v>25821.296296296296</v>
      </c>
      <c r="D8" s="5">
        <v>0.08</v>
      </c>
    </row>
    <row r="9" ht="14.25" customHeight="1">
      <c r="A9" s="36">
        <v>46089.0</v>
      </c>
      <c r="B9" s="37">
        <v>25821.296296296296</v>
      </c>
      <c r="D9" s="5">
        <v>0.08</v>
      </c>
    </row>
    <row r="10" ht="14.25" customHeight="1">
      <c r="A10" s="36">
        <v>46090.0</v>
      </c>
      <c r="B10" s="37">
        <v>28136.11111111111</v>
      </c>
      <c r="D10" s="5">
        <v>0.08</v>
      </c>
    </row>
    <row r="11" ht="14.25" customHeight="1">
      <c r="A11" s="36">
        <v>46091.0</v>
      </c>
      <c r="B11" s="37">
        <v>28136.11111111111</v>
      </c>
      <c r="D11" s="5">
        <v>0.08</v>
      </c>
    </row>
    <row r="12" ht="14.25" customHeight="1">
      <c r="A12" s="36">
        <v>46092.0</v>
      </c>
      <c r="B12" s="37">
        <v>28136.11111111111</v>
      </c>
      <c r="D12" s="5">
        <v>0.08</v>
      </c>
    </row>
    <row r="13" ht="14.25" customHeight="1">
      <c r="A13" s="36">
        <v>46093.0</v>
      </c>
      <c r="B13" s="37">
        <v>28136.11111111111</v>
      </c>
      <c r="D13" s="5">
        <v>0.08</v>
      </c>
    </row>
    <row r="14" ht="14.25" customHeight="1">
      <c r="A14" s="36">
        <v>46094.0</v>
      </c>
      <c r="B14" s="37">
        <v>28136.11111111111</v>
      </c>
      <c r="C14" s="38">
        <v>29117.11111111111</v>
      </c>
      <c r="D14" s="5">
        <v>0.08</v>
      </c>
    </row>
    <row r="15" ht="14.25" customHeight="1">
      <c r="A15" s="36">
        <v>46095.0</v>
      </c>
      <c r="B15" s="37">
        <v>28136.11111111111</v>
      </c>
      <c r="D15" s="5">
        <v>0.08</v>
      </c>
    </row>
    <row r="16" ht="14.25" customHeight="1">
      <c r="A16" s="36">
        <v>46096.0</v>
      </c>
      <c r="B16" s="37">
        <v>28136.11111111111</v>
      </c>
      <c r="D16" s="5">
        <v>0.08</v>
      </c>
    </row>
    <row r="17" ht="14.25" customHeight="1">
      <c r="A17" s="36">
        <v>46097.0</v>
      </c>
      <c r="B17" s="37">
        <v>28136.11111111111</v>
      </c>
      <c r="D17" s="5">
        <v>0.08</v>
      </c>
    </row>
    <row r="18" ht="14.25" customHeight="1">
      <c r="A18" s="36">
        <v>46098.0</v>
      </c>
      <c r="B18" s="37">
        <v>28136.11111111111</v>
      </c>
      <c r="D18" s="5">
        <v>0.08</v>
      </c>
    </row>
    <row r="19" ht="14.25" customHeight="1">
      <c r="A19" s="36">
        <v>46099.0</v>
      </c>
      <c r="B19" s="37">
        <v>28136.11111111111</v>
      </c>
      <c r="D19" s="5">
        <v>0.08</v>
      </c>
    </row>
    <row r="20" ht="14.25" customHeight="1">
      <c r="A20" s="36">
        <v>46100.0</v>
      </c>
      <c r="B20" s="37">
        <v>28136.11111111111</v>
      </c>
    </row>
    <row r="21" ht="14.25" customHeight="1">
      <c r="A21" s="36">
        <v>46101.0</v>
      </c>
      <c r="B21" s="37">
        <v>28136.11111111111</v>
      </c>
    </row>
    <row r="22" ht="14.25" customHeight="1">
      <c r="A22" s="36">
        <v>46102.0</v>
      </c>
      <c r="B22" s="37">
        <v>35757.0</v>
      </c>
    </row>
    <row r="23" ht="14.25" customHeight="1">
      <c r="A23" s="36">
        <v>46103.0</v>
      </c>
      <c r="B23" s="37">
        <v>35757.0</v>
      </c>
    </row>
    <row r="24" ht="14.25" customHeight="1">
      <c r="A24" s="36">
        <v>46104.0</v>
      </c>
      <c r="B24" s="37">
        <v>35757.0</v>
      </c>
    </row>
    <row r="25" ht="14.25" customHeight="1">
      <c r="A25" s="36">
        <v>46105.0</v>
      </c>
      <c r="B25" s="37">
        <v>35757.0</v>
      </c>
    </row>
    <row r="26" ht="14.25" customHeight="1">
      <c r="A26" s="36">
        <v>46106.0</v>
      </c>
      <c r="B26" s="37">
        <v>35757.0</v>
      </c>
    </row>
    <row r="27" ht="14.25" customHeight="1">
      <c r="A27" s="36">
        <v>46107.0</v>
      </c>
      <c r="B27" s="37">
        <v>35757.0</v>
      </c>
    </row>
    <row r="28" ht="14.25" customHeight="1">
      <c r="A28" s="36">
        <v>46108.0</v>
      </c>
      <c r="B28" s="37">
        <v>35757.0</v>
      </c>
    </row>
    <row r="29" ht="14.25" customHeight="1">
      <c r="A29" s="36">
        <v>46109.0</v>
      </c>
      <c r="B29" s="37">
        <v>35757.0</v>
      </c>
    </row>
    <row r="30" ht="14.25" customHeight="1">
      <c r="A30" s="36">
        <v>46110.0</v>
      </c>
      <c r="B30" s="37">
        <v>35757.0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1.57"/>
    <col customWidth="1" min="3" max="3" width="16.86"/>
    <col customWidth="1" min="4" max="6" width="11.43"/>
    <col customWidth="1" min="7" max="7" width="8.86"/>
    <col customWidth="1" min="8" max="9" width="11.43"/>
    <col customWidth="1" min="10" max="10" width="10.43"/>
    <col customWidth="1" min="11" max="12" width="11.43"/>
    <col customWidth="1" min="13" max="13" width="10.43"/>
    <col customWidth="1" min="14" max="23" width="11.43"/>
    <col customWidth="1" min="24" max="24" width="21.57"/>
    <col customWidth="1" min="25" max="25" width="14.71"/>
    <col customWidth="1" min="26" max="27" width="11.43"/>
    <col customWidth="1" min="28" max="28" width="21.57"/>
    <col customWidth="1" min="29" max="29" width="14.71"/>
  </cols>
  <sheetData>
    <row r="1" ht="14.25" customHeight="1">
      <c r="A1" s="35"/>
      <c r="D1" s="35"/>
      <c r="E1" s="35"/>
      <c r="F1" s="35"/>
    </row>
    <row r="2" ht="14.25" customHeight="1">
      <c r="AB2" s="5" t="s">
        <v>95</v>
      </c>
      <c r="AC2" s="5" t="s">
        <v>1</v>
      </c>
    </row>
    <row r="3" ht="14.25" customHeight="1">
      <c r="AB3" s="5" t="s">
        <v>96</v>
      </c>
      <c r="AC3" s="5">
        <v>7.6072305786E8</v>
      </c>
    </row>
    <row r="4" ht="14.25" customHeight="1">
      <c r="A4" s="39"/>
      <c r="AB4" s="5" t="s">
        <v>97</v>
      </c>
      <c r="AC4" s="4">
        <v>1.1092256406E8</v>
      </c>
    </row>
    <row r="5" ht="14.25" customHeight="1">
      <c r="X5" s="40"/>
      <c r="Y5" s="41"/>
      <c r="AB5" s="5" t="s">
        <v>35</v>
      </c>
      <c r="AC5" s="4">
        <v>8.07012432E7</v>
      </c>
    </row>
    <row r="6" ht="14.25" customHeight="1">
      <c r="X6" s="40"/>
      <c r="Y6" s="41"/>
      <c r="AB6" s="5" t="s">
        <v>27</v>
      </c>
      <c r="AC6" s="4">
        <v>3.5273035260000005E7</v>
      </c>
    </row>
    <row r="7" ht="14.25" customHeight="1">
      <c r="X7" s="40"/>
      <c r="Y7" s="41"/>
      <c r="AB7" s="5" t="s">
        <v>26</v>
      </c>
      <c r="AC7" s="4">
        <v>3.48809616E7</v>
      </c>
    </row>
    <row r="8" ht="14.25" customHeight="1">
      <c r="X8" s="40"/>
      <c r="Y8" s="41"/>
      <c r="AB8" s="5" t="s">
        <v>28</v>
      </c>
      <c r="AC8" s="4">
        <v>3.45210663E7</v>
      </c>
    </row>
    <row r="9" ht="14.25" customHeight="1">
      <c r="X9" s="40"/>
      <c r="Y9" s="41"/>
      <c r="AB9" s="5" t="s">
        <v>40</v>
      </c>
      <c r="AC9" s="4">
        <v>2.7294527E7</v>
      </c>
    </row>
    <row r="10" ht="14.25" customHeight="1">
      <c r="X10" s="40"/>
      <c r="Y10" s="41"/>
      <c r="AB10" s="5" t="s">
        <v>37</v>
      </c>
      <c r="AC10" s="4">
        <v>2.4904587464E7</v>
      </c>
    </row>
    <row r="11" ht="14.25" customHeight="1">
      <c r="X11" s="40"/>
      <c r="Y11" s="41"/>
      <c r="AB11" s="5" t="s">
        <v>45</v>
      </c>
      <c r="AC11" s="4">
        <v>2.4646895700000003E7</v>
      </c>
    </row>
    <row r="12" ht="14.25" customHeight="1">
      <c r="X12" s="40"/>
      <c r="Y12" s="41"/>
      <c r="AB12" s="5" t="s">
        <v>98</v>
      </c>
      <c r="AC12" s="4">
        <v>2.4396312188E7</v>
      </c>
    </row>
    <row r="13" ht="14.25" customHeight="1">
      <c r="X13" s="40"/>
      <c r="Y13" s="41"/>
      <c r="AB13" s="5" t="s">
        <v>99</v>
      </c>
      <c r="AC13" s="4">
        <v>2.40513105E7</v>
      </c>
    </row>
    <row r="14" ht="14.25" customHeight="1">
      <c r="X14" s="40"/>
      <c r="Y14" s="41"/>
      <c r="AB14" s="5" t="s">
        <v>100</v>
      </c>
      <c r="AC14" s="4">
        <v>2.0077269444000002E7</v>
      </c>
    </row>
    <row r="15" ht="14.25" customHeight="1">
      <c r="X15" s="40"/>
      <c r="Y15" s="41"/>
      <c r="AB15" s="5" t="s">
        <v>23</v>
      </c>
      <c r="AC15" s="4">
        <v>1.8446514300000004E7</v>
      </c>
    </row>
    <row r="16" ht="14.25" customHeight="1">
      <c r="X16" s="40"/>
      <c r="Y16" s="41"/>
      <c r="AB16" s="5" t="s">
        <v>101</v>
      </c>
      <c r="AC16" s="4">
        <v>1.7377902E7</v>
      </c>
    </row>
    <row r="17" ht="14.25" customHeight="1">
      <c r="X17" s="40"/>
      <c r="Y17" s="41"/>
      <c r="AB17" s="5" t="s">
        <v>102</v>
      </c>
      <c r="AC17" s="4">
        <v>1.5813394799999999E7</v>
      </c>
    </row>
    <row r="18" ht="14.25" customHeight="1">
      <c r="X18" s="40"/>
      <c r="Y18" s="41"/>
      <c r="AB18" s="5" t="s">
        <v>103</v>
      </c>
      <c r="AC18" s="4">
        <v>1.5416129952000001E7</v>
      </c>
    </row>
    <row r="19" ht="14.25" customHeight="1">
      <c r="X19" s="40"/>
      <c r="Y19" s="41"/>
      <c r="AB19" s="5" t="s">
        <v>104</v>
      </c>
      <c r="AC19" s="4">
        <v>1.48181508E7</v>
      </c>
    </row>
    <row r="20" ht="14.25" customHeight="1">
      <c r="X20" s="40"/>
      <c r="Y20" s="41"/>
      <c r="AB20" s="5" t="s">
        <v>105</v>
      </c>
      <c r="AC20" s="4">
        <v>1.2751023E7</v>
      </c>
    </row>
    <row r="21" ht="14.25" customHeight="1">
      <c r="X21" s="40"/>
      <c r="Y21" s="41"/>
      <c r="AB21" s="5" t="s">
        <v>42</v>
      </c>
      <c r="AC21" s="4">
        <v>1.2287118E7</v>
      </c>
    </row>
    <row r="22" ht="14.25" customHeight="1">
      <c r="X22" s="40"/>
      <c r="Y22" s="41"/>
      <c r="AB22" s="5" t="s">
        <v>29</v>
      </c>
      <c r="AC22" s="4">
        <v>1.2250653600000001E7</v>
      </c>
    </row>
    <row r="23" ht="14.25" customHeight="1">
      <c r="X23" s="40"/>
      <c r="Y23" s="41"/>
      <c r="AB23" s="5" t="s">
        <v>106</v>
      </c>
      <c r="AC23" s="4">
        <v>1.0842122700000001E7</v>
      </c>
    </row>
    <row r="24" ht="14.25" customHeight="1">
      <c r="X24" s="40"/>
      <c r="Y24" s="41"/>
      <c r="AB24" s="5" t="s">
        <v>107</v>
      </c>
      <c r="AC24" s="4">
        <v>1.0704787632000001E7</v>
      </c>
    </row>
    <row r="25" ht="14.25" customHeight="1">
      <c r="X25" s="40"/>
      <c r="Y25" s="41"/>
      <c r="AB25" s="5" t="s">
        <v>51</v>
      </c>
      <c r="AC25" s="4">
        <v>1.01504524E7</v>
      </c>
    </row>
    <row r="26" ht="14.25" customHeight="1">
      <c r="X26" s="40"/>
      <c r="Y26" s="41"/>
      <c r="AB26" s="5" t="s">
        <v>46</v>
      </c>
      <c r="AC26" s="4">
        <v>9315615.600000001</v>
      </c>
    </row>
    <row r="27" ht="14.25" customHeight="1">
      <c r="X27" s="40"/>
      <c r="Y27" s="41"/>
      <c r="AB27" s="5" t="s">
        <v>108</v>
      </c>
      <c r="AC27" s="4">
        <v>8646471.684</v>
      </c>
    </row>
    <row r="28" ht="14.25" customHeight="1">
      <c r="X28" s="40"/>
      <c r="Y28" s="41"/>
      <c r="AB28" s="5" t="s">
        <v>109</v>
      </c>
      <c r="AC28" s="4">
        <v>8335399.800000001</v>
      </c>
    </row>
    <row r="29" ht="14.25" customHeight="1">
      <c r="X29" s="40"/>
      <c r="Y29" s="41"/>
      <c r="AB29" s="5" t="s">
        <v>25</v>
      </c>
      <c r="AC29" s="4">
        <v>8280547.2</v>
      </c>
    </row>
    <row r="30" ht="14.25" customHeight="1">
      <c r="X30" s="40"/>
      <c r="Y30" s="41"/>
      <c r="AB30" s="5" t="s">
        <v>49</v>
      </c>
      <c r="AC30" s="4">
        <v>8263087.1</v>
      </c>
    </row>
    <row r="31" ht="14.25" customHeight="1">
      <c r="X31" s="40"/>
      <c r="Y31" s="41"/>
      <c r="AB31" s="5" t="s">
        <v>110</v>
      </c>
      <c r="AC31" s="4">
        <v>7931007.000000001</v>
      </c>
    </row>
    <row r="32" ht="14.25" customHeight="1">
      <c r="X32" s="40"/>
      <c r="Y32" s="41"/>
      <c r="AB32" s="5" t="s">
        <v>111</v>
      </c>
      <c r="AC32" s="4">
        <v>7303753.1</v>
      </c>
    </row>
    <row r="33" ht="14.25" customHeight="1">
      <c r="X33" s="40"/>
      <c r="Y33" s="41"/>
      <c r="AB33" s="5" t="s">
        <v>112</v>
      </c>
      <c r="AC33" s="4">
        <v>6989010.0</v>
      </c>
    </row>
    <row r="34" ht="14.25" customHeight="1">
      <c r="X34" s="40"/>
      <c r="Y34" s="41"/>
      <c r="AB34" s="5" t="s">
        <v>113</v>
      </c>
      <c r="AC34" s="4">
        <v>6773520.024</v>
      </c>
    </row>
    <row r="35" ht="14.25" customHeight="1">
      <c r="X35" s="40"/>
      <c r="Y35" s="41"/>
      <c r="AB35" s="5" t="s">
        <v>114</v>
      </c>
      <c r="AC35" s="4">
        <v>6622911.54</v>
      </c>
    </row>
    <row r="36" ht="14.25" customHeight="1">
      <c r="X36" s="40"/>
      <c r="Y36" s="41"/>
      <c r="AB36" s="5" t="s">
        <v>115</v>
      </c>
      <c r="AC36" s="4">
        <v>5788772.244</v>
      </c>
    </row>
    <row r="37" ht="14.25" customHeight="1">
      <c r="X37" s="40"/>
      <c r="Y37" s="41"/>
      <c r="AB37" s="5" t="s">
        <v>47</v>
      </c>
      <c r="AC37" s="4">
        <v>5504631.960000001</v>
      </c>
    </row>
    <row r="38" ht="14.25" customHeight="1">
      <c r="X38" s="40"/>
      <c r="Y38" s="41"/>
      <c r="AB38" s="5" t="s">
        <v>116</v>
      </c>
      <c r="AC38" s="4">
        <v>5399769.9</v>
      </c>
    </row>
    <row r="39" ht="14.25" customHeight="1">
      <c r="X39" s="40"/>
      <c r="Y39" s="41"/>
      <c r="AB39" s="5" t="s">
        <v>117</v>
      </c>
      <c r="AC39" s="4">
        <v>5250873.6</v>
      </c>
    </row>
    <row r="40" ht="14.25" customHeight="1">
      <c r="X40" s="40"/>
      <c r="Y40" s="41"/>
      <c r="AB40" s="5" t="s">
        <v>41</v>
      </c>
      <c r="AC40" s="4">
        <v>5213370.600000001</v>
      </c>
    </row>
    <row r="41" ht="14.25" customHeight="1">
      <c r="X41" s="40"/>
      <c r="Y41" s="41"/>
      <c r="AB41" s="5" t="s">
        <v>118</v>
      </c>
      <c r="AC41" s="4">
        <v>5213370.600000001</v>
      </c>
    </row>
    <row r="42" ht="14.25" customHeight="1">
      <c r="X42" s="40"/>
      <c r="Y42" s="41"/>
      <c r="AB42" s="5" t="s">
        <v>119</v>
      </c>
      <c r="AC42" s="4">
        <v>5132160.0</v>
      </c>
    </row>
    <row r="43" ht="14.25" customHeight="1">
      <c r="X43" s="40"/>
      <c r="Y43" s="41"/>
      <c r="AB43" s="5" t="s">
        <v>120</v>
      </c>
      <c r="AC43" s="4">
        <v>4927632.899999999</v>
      </c>
    </row>
    <row r="44" ht="14.25" customHeight="1">
      <c r="X44" s="40"/>
      <c r="Y44" s="41"/>
      <c r="AB44" s="5" t="s">
        <v>87</v>
      </c>
      <c r="AC44" s="4">
        <v>4651551.6</v>
      </c>
    </row>
    <row r="45" ht="14.25" customHeight="1">
      <c r="X45" s="40"/>
      <c r="Y45" s="41"/>
      <c r="AB45" s="5" t="s">
        <v>121</v>
      </c>
      <c r="AC45" s="4">
        <v>4442399.100000001</v>
      </c>
    </row>
    <row r="46" ht="14.25" customHeight="1">
      <c r="X46" s="40"/>
      <c r="Y46" s="41"/>
      <c r="AB46" s="5" t="s">
        <v>122</v>
      </c>
      <c r="AC46" s="4">
        <v>4102245.0000000005</v>
      </c>
    </row>
    <row r="47" ht="14.25" customHeight="1">
      <c r="X47" s="40"/>
      <c r="Y47" s="41"/>
      <c r="AB47" s="5" t="s">
        <v>123</v>
      </c>
      <c r="AC47" s="4">
        <v>4102245.0000000005</v>
      </c>
    </row>
    <row r="48" ht="14.25" customHeight="1">
      <c r="X48" s="40"/>
      <c r="Y48" s="41"/>
      <c r="AB48" s="5" t="s">
        <v>43</v>
      </c>
      <c r="AC48" s="4">
        <v>3969343.3</v>
      </c>
    </row>
    <row r="49" ht="14.25" customHeight="1">
      <c r="X49" s="40"/>
      <c r="Y49" s="41"/>
      <c r="AB49" s="5" t="s">
        <v>124</v>
      </c>
      <c r="AC49" s="4">
        <v>3764745.0000000005</v>
      </c>
    </row>
    <row r="50" ht="14.25" customHeight="1">
      <c r="X50" s="40"/>
      <c r="Y50" s="41"/>
      <c r="AB50" s="5" t="s">
        <v>125</v>
      </c>
      <c r="AC50" s="4">
        <v>3655985.6999999997</v>
      </c>
    </row>
    <row r="51" ht="14.25" customHeight="1">
      <c r="X51" s="40"/>
      <c r="Y51" s="41"/>
      <c r="AB51" s="5" t="s">
        <v>31</v>
      </c>
      <c r="AC51" s="4">
        <v>3591433.08</v>
      </c>
    </row>
    <row r="52" ht="14.25" customHeight="1">
      <c r="X52" s="40"/>
      <c r="Y52" s="41"/>
      <c r="AB52" s="5" t="s">
        <v>88</v>
      </c>
      <c r="AC52" s="4">
        <v>3475580.4000000004</v>
      </c>
    </row>
    <row r="53" ht="14.25" customHeight="1">
      <c r="X53" s="40"/>
      <c r="Y53" s="41"/>
      <c r="AB53" s="5" t="s">
        <v>24</v>
      </c>
      <c r="AC53" s="4">
        <v>3475580.4000000004</v>
      </c>
    </row>
    <row r="54" ht="14.25" customHeight="1">
      <c r="X54" s="40"/>
      <c r="Y54" s="41"/>
      <c r="AB54" s="5" t="s">
        <v>126</v>
      </c>
      <c r="AC54" s="4">
        <v>3475580.4000000004</v>
      </c>
    </row>
    <row r="55" ht="14.25" customHeight="1">
      <c r="X55" s="40"/>
      <c r="Y55" s="41"/>
      <c r="AB55" s="5" t="s">
        <v>82</v>
      </c>
      <c r="AC55" s="4">
        <v>3099474.0</v>
      </c>
    </row>
    <row r="56" ht="14.25" customHeight="1">
      <c r="X56" s="40"/>
      <c r="Y56" s="41"/>
      <c r="AB56" s="5" t="s">
        <v>127</v>
      </c>
      <c r="AC56" s="4">
        <v>2734830.0</v>
      </c>
    </row>
    <row r="57" ht="14.25" customHeight="1">
      <c r="X57" s="40"/>
      <c r="Y57" s="41"/>
      <c r="AB57" s="5" t="s">
        <v>128</v>
      </c>
      <c r="AC57" s="4">
        <v>2734830.0</v>
      </c>
    </row>
    <row r="58" ht="14.25" customHeight="1">
      <c r="X58" s="40"/>
      <c r="Y58" s="41"/>
      <c r="AB58" s="5" t="s">
        <v>129</v>
      </c>
      <c r="AC58" s="4">
        <v>1093932.0</v>
      </c>
    </row>
    <row r="59" ht="14.25" customHeight="1">
      <c r="X59" s="40"/>
      <c r="Y59" s="41"/>
      <c r="AB59" s="5" t="s">
        <v>130</v>
      </c>
      <c r="AC59" s="4">
        <v>463410.72000000003</v>
      </c>
    </row>
    <row r="60" ht="14.25" customHeight="1">
      <c r="X60" s="42"/>
      <c r="Y60" s="43"/>
      <c r="AB60" s="5" t="s">
        <v>131</v>
      </c>
      <c r="AC60" s="4">
        <v>-2394288.72</v>
      </c>
    </row>
    <row r="61" ht="14.25" customHeight="1">
      <c r="X61" s="3"/>
      <c r="AB61" s="5" t="s">
        <v>132</v>
      </c>
      <c r="AC61" s="4">
        <v>-3135745.872</v>
      </c>
    </row>
    <row r="62" ht="14.25" customHeight="1">
      <c r="B62" s="3"/>
      <c r="C62" s="4"/>
      <c r="X62" s="3"/>
      <c r="AB62" s="5" t="s">
        <v>133</v>
      </c>
    </row>
    <row r="63" ht="14.25" customHeight="1">
      <c r="B63" s="3"/>
      <c r="C63" s="4"/>
    </row>
    <row r="64" ht="14.25" customHeight="1"/>
    <row r="65" ht="14.25" customHeight="1"/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B$2:$AC$62">
    <sortState ref="AB2:AC62">
      <sortCondition descending="1" ref="AC2:AC62"/>
    </sortState>
  </autoFilter>
  <printOptions/>
  <pageMargins bottom="1.0" footer="0.0" header="0.0" left="0.75" right="0.75" top="1.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1.14"/>
    <col customWidth="1" min="3" max="4" width="18.0"/>
    <col customWidth="1" min="5" max="12" width="8.86"/>
    <col customWidth="1" min="13" max="13" width="17.0"/>
    <col customWidth="1" min="14" max="15" width="8.86"/>
    <col customWidth="1" min="16" max="26" width="8.71"/>
  </cols>
  <sheetData>
    <row r="1" ht="14.2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3.5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42.0" customHeight="1">
      <c r="A3" s="35"/>
      <c r="B3" s="45" t="s">
        <v>134</v>
      </c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3.5" customHeight="1">
      <c r="A4" s="35"/>
      <c r="B4" s="46" t="s">
        <v>135</v>
      </c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3.5" customHeight="1">
      <c r="A5" s="35"/>
      <c r="B5" s="46" t="s">
        <v>136</v>
      </c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3.5" customHeight="1">
      <c r="A6" s="35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13.5" customHeight="1">
      <c r="A7" s="47" t="s">
        <v>137</v>
      </c>
      <c r="B7" s="48" t="s">
        <v>138</v>
      </c>
      <c r="C7" s="49" t="str">
        <f t="array" ref="C7">_xludf.XLOOKUP(A7,Sheet1!F:F,Sheet1!C:C)</f>
        <v>#NAME?</v>
      </c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3.5" customHeight="1">
      <c r="A8" s="35"/>
      <c r="B8" s="48" t="s">
        <v>139</v>
      </c>
      <c r="C8" s="49" t="str">
        <f t="array" ref="C8">_xludf.XLOOKUP(A7,Sheet1!F:F,Sheet1!H:H)</f>
        <v>#NAME?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3.5" customHeight="1">
      <c r="A9" s="35"/>
      <c r="B9" s="48" t="s">
        <v>140</v>
      </c>
      <c r="C9" s="50" t="str">
        <f t="array" ref="C9">_xludf.XLOOKUP(A7,Sheet1!F:F,Sheet1!E:E)</f>
        <v>#NAME?</v>
      </c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4.25" customHeight="1">
      <c r="A10" s="35"/>
      <c r="B10" s="51" t="s">
        <v>141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3.5" customHeight="1">
      <c r="A11" s="35"/>
      <c r="B11" s="49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3.5" customHeight="1">
      <c r="A12" s="52"/>
      <c r="B12" s="53" t="s">
        <v>142</v>
      </c>
      <c r="C12" s="53" t="s">
        <v>0</v>
      </c>
      <c r="D12" s="53" t="s">
        <v>143</v>
      </c>
      <c r="E12" s="54" t="s">
        <v>6</v>
      </c>
      <c r="F12" s="54" t="s">
        <v>7</v>
      </c>
      <c r="G12" s="54" t="s">
        <v>6</v>
      </c>
      <c r="H12" s="54" t="s">
        <v>7</v>
      </c>
      <c r="I12" s="54" t="s">
        <v>8</v>
      </c>
      <c r="J12" s="54" t="s">
        <v>9</v>
      </c>
      <c r="K12" s="54" t="s">
        <v>10</v>
      </c>
      <c r="L12" s="53" t="s">
        <v>11</v>
      </c>
      <c r="M12" s="53" t="s">
        <v>12</v>
      </c>
      <c r="N12" s="53" t="s">
        <v>13</v>
      </c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13.5" customHeight="1">
      <c r="A13" s="52"/>
      <c r="B13" s="15"/>
      <c r="C13" s="15"/>
      <c r="D13" s="15"/>
      <c r="E13" s="54" t="s">
        <v>14</v>
      </c>
      <c r="F13" s="54" t="s">
        <v>14</v>
      </c>
      <c r="G13" s="54" t="s">
        <v>15</v>
      </c>
      <c r="H13" s="54" t="s">
        <v>15</v>
      </c>
      <c r="I13" s="54" t="s">
        <v>16</v>
      </c>
      <c r="J13" s="54" t="s">
        <v>16</v>
      </c>
      <c r="K13" s="54" t="s">
        <v>16</v>
      </c>
      <c r="L13" s="15"/>
      <c r="M13" s="15"/>
      <c r="N13" s="15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ht="13.5" customHeight="1">
      <c r="A14" s="52"/>
      <c r="B14" s="54">
        <v>1.0</v>
      </c>
      <c r="C14" s="36"/>
      <c r="D14" s="55"/>
      <c r="E14" s="56"/>
      <c r="F14" s="56"/>
      <c r="G14" s="56"/>
      <c r="H14" s="56"/>
      <c r="I14" s="54"/>
      <c r="J14" s="57"/>
      <c r="K14" s="58"/>
      <c r="L14" s="54"/>
      <c r="M14" s="54"/>
      <c r="N14" s="54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ht="13.5" customHeight="1">
      <c r="A15" s="52"/>
      <c r="B15" s="54">
        <v>2.0</v>
      </c>
      <c r="C15" s="36"/>
      <c r="D15" s="55"/>
      <c r="E15" s="56"/>
      <c r="F15" s="56"/>
      <c r="G15" s="56"/>
      <c r="H15" s="56"/>
      <c r="I15" s="54"/>
      <c r="J15" s="55"/>
      <c r="K15" s="58"/>
      <c r="L15" s="54"/>
      <c r="M15" s="54"/>
      <c r="N15" s="54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ht="13.5" customHeight="1">
      <c r="A16" s="52"/>
      <c r="B16" s="54">
        <v>3.0</v>
      </c>
      <c r="C16" s="36"/>
      <c r="D16" s="55"/>
      <c r="E16" s="56"/>
      <c r="F16" s="56"/>
      <c r="G16" s="56"/>
      <c r="H16" s="56"/>
      <c r="I16" s="54"/>
      <c r="J16" s="57"/>
      <c r="K16" s="58"/>
      <c r="L16" s="54"/>
      <c r="M16" s="54"/>
      <c r="N16" s="54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ht="13.5" customHeight="1">
      <c r="A17" s="52"/>
      <c r="B17" s="54">
        <v>4.0</v>
      </c>
      <c r="C17" s="36"/>
      <c r="D17" s="55"/>
      <c r="E17" s="56"/>
      <c r="F17" s="56"/>
      <c r="G17" s="56"/>
      <c r="H17" s="56"/>
      <c r="I17" s="54"/>
      <c r="J17" s="57"/>
      <c r="K17" s="58"/>
      <c r="L17" s="54"/>
      <c r="M17" s="54"/>
      <c r="N17" s="54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ht="13.5" customHeight="1">
      <c r="A18" s="59"/>
      <c r="B18" s="60" t="s">
        <v>144</v>
      </c>
      <c r="C18" s="61"/>
      <c r="D18" s="62"/>
      <c r="E18" s="63">
        <f t="shared" ref="E18:K18" si="1">SUM(E14:E17)</f>
        <v>0</v>
      </c>
      <c r="F18" s="63">
        <f t="shared" si="1"/>
        <v>0</v>
      </c>
      <c r="G18" s="63">
        <f t="shared" si="1"/>
        <v>0</v>
      </c>
      <c r="H18" s="63">
        <f t="shared" si="1"/>
        <v>0</v>
      </c>
      <c r="I18" s="63">
        <f t="shared" si="1"/>
        <v>0</v>
      </c>
      <c r="J18" s="63">
        <f t="shared" si="1"/>
        <v>0</v>
      </c>
      <c r="K18" s="63">
        <f t="shared" si="1"/>
        <v>0</v>
      </c>
      <c r="L18" s="63"/>
      <c r="M18" s="63">
        <f>SUM(M14:M17)</f>
        <v>0</v>
      </c>
      <c r="N18" s="63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13.5" customHeight="1">
      <c r="A19" s="52"/>
      <c r="B19" s="64" t="s">
        <v>145</v>
      </c>
      <c r="C19" s="61"/>
      <c r="D19" s="61"/>
      <c r="E19" s="61"/>
      <c r="F19" s="61"/>
      <c r="G19" s="61"/>
      <c r="H19" s="61"/>
      <c r="I19" s="61"/>
      <c r="J19" s="61"/>
      <c r="K19" s="61"/>
      <c r="L19" s="62"/>
      <c r="M19" s="54">
        <f>M18*0.08</f>
        <v>0</v>
      </c>
      <c r="N19" s="54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ht="13.5" customHeight="1">
      <c r="A20" s="52"/>
      <c r="B20" s="64" t="s">
        <v>146</v>
      </c>
      <c r="C20" s="61"/>
      <c r="D20" s="61"/>
      <c r="E20" s="61"/>
      <c r="F20" s="61"/>
      <c r="G20" s="61"/>
      <c r="H20" s="61"/>
      <c r="I20" s="61"/>
      <c r="J20" s="61"/>
      <c r="K20" s="61"/>
      <c r="L20" s="62"/>
      <c r="M20" s="54">
        <f>M18+M19</f>
        <v>0</v>
      </c>
      <c r="N20" s="54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3.5" customHeight="1">
      <c r="A21" s="52"/>
      <c r="B21" s="64" t="str">
        <f>B28&amp;" "&amp;B5&amp;" "&amp;C28</f>
        <v>Tổng số tiền nợ tính từ 01/04/2026 - 30/04/2026 là</v>
      </c>
      <c r="C21" s="61"/>
      <c r="D21" s="61"/>
      <c r="E21" s="61"/>
      <c r="F21" s="61"/>
      <c r="G21" s="61"/>
      <c r="H21" s="61"/>
      <c r="I21" s="61"/>
      <c r="J21" s="61"/>
      <c r="K21" s="61"/>
      <c r="L21" s="62"/>
      <c r="M21" s="63">
        <f>M20</f>
        <v>0</v>
      </c>
      <c r="N21" s="54"/>
      <c r="O21" s="52" t="str">
        <f t="array" ref="O21">M21=_xludf.XLOOKUP(D14,CONG_NO_THEO_KH!X:X,CONG_NO_THEO_KH!Y:Y)</f>
        <v>#NAME?</v>
      </c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3.5" customHeight="1">
      <c r="A22" s="52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6"/>
      <c r="N22" s="65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3.5" customHeight="1">
      <c r="A23" s="52"/>
      <c r="B23" s="66"/>
      <c r="F23" s="65"/>
      <c r="G23" s="65"/>
      <c r="H23" s="65"/>
      <c r="I23" s="65"/>
      <c r="J23" s="65"/>
      <c r="K23" s="65" t="s">
        <v>147</v>
      </c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3.5" customHeight="1">
      <c r="A24" s="52"/>
      <c r="B24" s="66" t="s">
        <v>148</v>
      </c>
      <c r="F24" s="67"/>
      <c r="G24" s="67"/>
      <c r="H24" s="66"/>
      <c r="I24" s="66"/>
      <c r="J24" s="65"/>
      <c r="K24" s="66" t="s">
        <v>149</v>
      </c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3.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3.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3.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3.5" customHeight="1">
      <c r="A28" s="35"/>
      <c r="B28" s="47" t="s">
        <v>150</v>
      </c>
      <c r="C28" s="47" t="s">
        <v>151</v>
      </c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3.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3.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3.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3.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3.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3.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3.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3.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3.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3.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3.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3.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3.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3.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3.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3.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3.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3.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3.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3.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3.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3.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3.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3.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3.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3.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3.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3.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3.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3.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3.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3.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3.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3.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3.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3.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3.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3.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3.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3.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3.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3.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3.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3.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3.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3.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3.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3.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3.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3.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3.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3.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3.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3.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3.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3.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3.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3.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3.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3.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3.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3.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3.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3.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3.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3.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3.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3.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3.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3.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3.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3.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3.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3.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3.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3.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3.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3.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3.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3.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3.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3.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3.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3.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3.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3.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3.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3.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3.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3.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3.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3.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3.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3.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3.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3.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3.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3.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3.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3.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3.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3.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3.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3.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3.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3.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3.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3.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3.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3.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3.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3.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3.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3.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3.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3.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3.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3.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3.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3.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3.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3.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3.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3.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3.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3.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3.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3.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3.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3.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3.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3.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3.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3.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3.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3.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3.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3.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3.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3.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3.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3.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3.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3.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3.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3.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3.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3.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3.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3.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3.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3.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3.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3.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3.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3.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3.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3.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3.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3.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3.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3.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3.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3.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3.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3.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3.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3.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3.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3.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3.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3.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3.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3.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3.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3.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3.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3.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3.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3.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3.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3.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3.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3.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3.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3.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3.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3.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3.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3.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3.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3.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3.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3.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3.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3.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3.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3.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3.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3.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M12:M13"/>
    <mergeCell ref="N12:N13"/>
    <mergeCell ref="B18:D18"/>
    <mergeCell ref="B19:L19"/>
    <mergeCell ref="B20:L20"/>
    <mergeCell ref="B21:L21"/>
    <mergeCell ref="B23:E23"/>
    <mergeCell ref="K23:N23"/>
    <mergeCell ref="B24:E24"/>
    <mergeCell ref="K24:N24"/>
    <mergeCell ref="B3:N3"/>
    <mergeCell ref="B4:N4"/>
    <mergeCell ref="B5:N5"/>
    <mergeCell ref="B12:B13"/>
    <mergeCell ref="C12:C13"/>
    <mergeCell ref="D12:D13"/>
    <mergeCell ref="L12:L1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 ht="14.25" customHeight="1">
      <c r="A1" s="68"/>
      <c r="B1" s="69" t="s">
        <v>142</v>
      </c>
      <c r="C1" s="69" t="s">
        <v>152</v>
      </c>
      <c r="D1" s="69" t="s">
        <v>153</v>
      </c>
      <c r="E1" s="69" t="s">
        <v>154</v>
      </c>
      <c r="F1" s="69" t="s">
        <v>155</v>
      </c>
      <c r="G1" s="69" t="s">
        <v>156</v>
      </c>
      <c r="H1" s="69" t="s">
        <v>157</v>
      </c>
      <c r="I1" s="69" t="s">
        <v>158</v>
      </c>
      <c r="J1" s="69" t="s">
        <v>159</v>
      </c>
      <c r="K1" s="69" t="s">
        <v>160</v>
      </c>
      <c r="L1" s="69" t="s">
        <v>161</v>
      </c>
      <c r="M1" s="69" t="s">
        <v>162</v>
      </c>
      <c r="N1" s="69" t="s">
        <v>163</v>
      </c>
      <c r="O1" s="69" t="s">
        <v>164</v>
      </c>
      <c r="P1" s="69" t="s">
        <v>165</v>
      </c>
      <c r="Q1" s="69" t="s">
        <v>166</v>
      </c>
      <c r="R1" s="69" t="s">
        <v>167</v>
      </c>
      <c r="S1" s="69" t="s">
        <v>168</v>
      </c>
      <c r="T1" s="69" t="s">
        <v>169</v>
      </c>
      <c r="U1" s="69" t="s">
        <v>170</v>
      </c>
      <c r="V1" s="69" t="s">
        <v>171</v>
      </c>
    </row>
    <row r="2" ht="14.25" customHeight="1">
      <c r="A2" s="70"/>
      <c r="B2" s="71">
        <v>1.0</v>
      </c>
      <c r="C2" s="72" t="s">
        <v>172</v>
      </c>
      <c r="D2" s="70"/>
      <c r="E2" s="72" t="s">
        <v>173</v>
      </c>
      <c r="F2" s="72" t="s">
        <v>174</v>
      </c>
      <c r="G2" s="72" t="s">
        <v>173</v>
      </c>
      <c r="H2" s="72" t="s">
        <v>175</v>
      </c>
      <c r="I2" s="72" t="s">
        <v>176</v>
      </c>
      <c r="J2" s="70"/>
      <c r="K2" s="72" t="s">
        <v>177</v>
      </c>
      <c r="L2" s="70"/>
      <c r="M2" s="70"/>
      <c r="N2" s="70"/>
      <c r="O2" s="70"/>
      <c r="P2" s="70"/>
      <c r="Q2" s="73" t="s">
        <v>178</v>
      </c>
      <c r="R2" s="74" t="s">
        <v>179</v>
      </c>
      <c r="S2" s="74" t="s">
        <v>180</v>
      </c>
      <c r="T2" s="70"/>
      <c r="U2" s="70"/>
      <c r="V2" s="70"/>
    </row>
    <row r="3" ht="14.25" customHeight="1">
      <c r="A3" s="70"/>
      <c r="B3" s="71">
        <v>2.0</v>
      </c>
      <c r="C3" s="72" t="s">
        <v>181</v>
      </c>
      <c r="D3" s="70"/>
      <c r="E3" s="72" t="s">
        <v>182</v>
      </c>
      <c r="F3" s="72" t="s">
        <v>183</v>
      </c>
      <c r="G3" s="72" t="s">
        <v>184</v>
      </c>
      <c r="H3" s="72" t="s">
        <v>185</v>
      </c>
      <c r="I3" s="72" t="s">
        <v>186</v>
      </c>
      <c r="J3" s="70"/>
      <c r="K3" s="72" t="s">
        <v>177</v>
      </c>
      <c r="L3" s="70"/>
      <c r="M3" s="70"/>
      <c r="N3" s="70"/>
      <c r="O3" s="70"/>
      <c r="P3" s="70"/>
      <c r="Q3" s="73" t="s">
        <v>187</v>
      </c>
      <c r="R3" s="74" t="s">
        <v>179</v>
      </c>
      <c r="S3" s="74" t="s">
        <v>180</v>
      </c>
      <c r="T3" s="70"/>
      <c r="U3" s="70"/>
      <c r="V3" s="70"/>
    </row>
    <row r="4" ht="14.25" customHeight="1">
      <c r="A4" s="70"/>
      <c r="B4" s="71">
        <v>3.0</v>
      </c>
      <c r="C4" s="72" t="s">
        <v>188</v>
      </c>
      <c r="D4" s="70"/>
      <c r="E4" s="72" t="s">
        <v>189</v>
      </c>
      <c r="F4" s="72" t="s">
        <v>190</v>
      </c>
      <c r="G4" s="72" t="s">
        <v>189</v>
      </c>
      <c r="H4" s="72" t="s">
        <v>191</v>
      </c>
      <c r="I4" s="70"/>
      <c r="J4" s="70"/>
      <c r="K4" s="72" t="s">
        <v>192</v>
      </c>
      <c r="L4" s="70"/>
      <c r="M4" s="70"/>
      <c r="N4" s="70"/>
      <c r="O4" s="70"/>
      <c r="P4" s="70"/>
      <c r="Q4" s="70"/>
      <c r="R4" s="74" t="s">
        <v>179</v>
      </c>
      <c r="S4" s="74" t="s">
        <v>180</v>
      </c>
      <c r="T4" s="70"/>
      <c r="U4" s="70"/>
      <c r="V4" s="70"/>
    </row>
    <row r="5" ht="14.25" customHeight="1">
      <c r="A5" s="70"/>
      <c r="B5" s="71">
        <v>4.0</v>
      </c>
      <c r="C5" s="72" t="s">
        <v>193</v>
      </c>
      <c r="D5" s="70"/>
      <c r="E5" s="72" t="s">
        <v>194</v>
      </c>
      <c r="F5" s="72" t="s">
        <v>195</v>
      </c>
      <c r="G5" s="72" t="s">
        <v>194</v>
      </c>
      <c r="H5" s="72" t="s">
        <v>196</v>
      </c>
      <c r="I5" s="70"/>
      <c r="J5" s="70"/>
      <c r="K5" s="72" t="s">
        <v>197</v>
      </c>
      <c r="L5" s="70"/>
      <c r="M5" s="70"/>
      <c r="N5" s="70"/>
      <c r="O5" s="70"/>
      <c r="P5" s="70"/>
      <c r="Q5" s="70"/>
      <c r="R5" s="74" t="s">
        <v>179</v>
      </c>
      <c r="S5" s="74" t="s">
        <v>180</v>
      </c>
      <c r="T5" s="70"/>
      <c r="U5" s="70"/>
      <c r="V5" s="70"/>
    </row>
    <row r="6" ht="14.25" customHeight="1">
      <c r="A6" s="70"/>
      <c r="B6" s="71">
        <v>5.0</v>
      </c>
      <c r="C6" s="72" t="s">
        <v>198</v>
      </c>
      <c r="D6" s="70"/>
      <c r="E6" s="72" t="s">
        <v>199</v>
      </c>
      <c r="F6" s="72" t="s">
        <v>137</v>
      </c>
      <c r="G6" s="72" t="s">
        <v>199</v>
      </c>
      <c r="H6" s="72" t="s">
        <v>200</v>
      </c>
      <c r="I6" s="70"/>
      <c r="J6" s="70"/>
      <c r="K6" s="72" t="s">
        <v>201</v>
      </c>
      <c r="L6" s="70"/>
      <c r="M6" s="70"/>
      <c r="N6" s="70"/>
      <c r="O6" s="70"/>
      <c r="P6" s="70"/>
      <c r="Q6" s="70"/>
      <c r="R6" s="74" t="s">
        <v>179</v>
      </c>
      <c r="S6" s="74" t="s">
        <v>180</v>
      </c>
      <c r="T6" s="70"/>
      <c r="U6" s="70"/>
      <c r="V6" s="70"/>
    </row>
    <row r="7" ht="14.25" customHeight="1">
      <c r="A7" s="70"/>
      <c r="B7" s="71">
        <v>6.0</v>
      </c>
      <c r="C7" s="72" t="s">
        <v>202</v>
      </c>
      <c r="D7" s="70"/>
      <c r="E7" s="72" t="s">
        <v>203</v>
      </c>
      <c r="F7" s="72" t="s">
        <v>204</v>
      </c>
      <c r="G7" s="72" t="s">
        <v>203</v>
      </c>
      <c r="H7" s="72" t="s">
        <v>205</v>
      </c>
      <c r="I7" s="70"/>
      <c r="J7" s="70"/>
      <c r="K7" s="72" t="s">
        <v>206</v>
      </c>
      <c r="L7" s="70"/>
      <c r="M7" s="70"/>
      <c r="N7" s="70"/>
      <c r="O7" s="70"/>
      <c r="P7" s="70"/>
      <c r="Q7" s="70"/>
      <c r="R7" s="74" t="s">
        <v>179</v>
      </c>
      <c r="S7" s="74" t="s">
        <v>180</v>
      </c>
      <c r="T7" s="70"/>
      <c r="U7" s="70"/>
      <c r="V7" s="70"/>
    </row>
    <row r="8" ht="14.25" customHeight="1">
      <c r="A8" s="70"/>
      <c r="B8" s="71">
        <v>7.0</v>
      </c>
      <c r="C8" s="72" t="s">
        <v>207</v>
      </c>
      <c r="D8" s="70"/>
      <c r="E8" s="72" t="s">
        <v>208</v>
      </c>
      <c r="F8" s="72" t="s">
        <v>209</v>
      </c>
      <c r="G8" s="72" t="s">
        <v>208</v>
      </c>
      <c r="H8" s="72" t="s">
        <v>210</v>
      </c>
      <c r="I8" s="72" t="s">
        <v>211</v>
      </c>
      <c r="J8" s="70"/>
      <c r="K8" s="72" t="s">
        <v>212</v>
      </c>
      <c r="L8" s="70"/>
      <c r="M8" s="70"/>
      <c r="N8" s="70"/>
      <c r="O8" s="70"/>
      <c r="P8" s="70"/>
      <c r="Q8" s="70"/>
      <c r="R8" s="74" t="s">
        <v>179</v>
      </c>
      <c r="S8" s="74" t="s">
        <v>180</v>
      </c>
      <c r="T8" s="70"/>
      <c r="U8" s="70"/>
      <c r="V8" s="70"/>
    </row>
    <row r="9" ht="14.25" customHeight="1">
      <c r="A9" s="70"/>
      <c r="B9" s="71">
        <v>8.0</v>
      </c>
      <c r="C9" s="72" t="s">
        <v>213</v>
      </c>
      <c r="D9" s="70"/>
      <c r="E9" s="72" t="s">
        <v>214</v>
      </c>
      <c r="F9" s="72" t="s">
        <v>215</v>
      </c>
      <c r="G9" s="72" t="s">
        <v>214</v>
      </c>
      <c r="H9" s="72" t="s">
        <v>216</v>
      </c>
      <c r="I9" s="70"/>
      <c r="J9" s="70"/>
      <c r="K9" s="72" t="s">
        <v>217</v>
      </c>
      <c r="L9" s="70"/>
      <c r="M9" s="70"/>
      <c r="N9" s="70"/>
      <c r="O9" s="70"/>
      <c r="P9" s="70"/>
      <c r="Q9" s="70"/>
      <c r="R9" s="74" t="s">
        <v>179</v>
      </c>
      <c r="S9" s="74" t="s">
        <v>180</v>
      </c>
      <c r="T9" s="70"/>
      <c r="U9" s="70"/>
      <c r="V9" s="70"/>
    </row>
    <row r="10" ht="14.25" customHeight="1">
      <c r="A10" s="70"/>
      <c r="B10" s="71">
        <v>9.0</v>
      </c>
      <c r="C10" s="72" t="s">
        <v>218</v>
      </c>
      <c r="D10" s="72" t="s">
        <v>219</v>
      </c>
      <c r="E10" s="72" t="s">
        <v>220</v>
      </c>
      <c r="F10" s="72" t="s">
        <v>221</v>
      </c>
      <c r="G10" s="72" t="s">
        <v>220</v>
      </c>
      <c r="H10" s="72" t="s">
        <v>222</v>
      </c>
      <c r="I10" s="70"/>
      <c r="J10" s="70"/>
      <c r="K10" s="70"/>
      <c r="L10" s="70"/>
      <c r="M10" s="70"/>
      <c r="N10" s="70"/>
      <c r="O10" s="70"/>
      <c r="P10" s="70"/>
      <c r="Q10" s="70"/>
      <c r="R10" s="74" t="s">
        <v>179</v>
      </c>
      <c r="S10" s="74" t="s">
        <v>180</v>
      </c>
      <c r="T10" s="70"/>
      <c r="U10" s="70"/>
      <c r="V10" s="70"/>
    </row>
    <row r="11" ht="14.25" customHeight="1">
      <c r="A11" s="70"/>
      <c r="B11" s="71">
        <v>10.0</v>
      </c>
      <c r="C11" s="72" t="s">
        <v>223</v>
      </c>
      <c r="D11" s="70"/>
      <c r="E11" s="72" t="s">
        <v>224</v>
      </c>
      <c r="F11" s="72" t="s">
        <v>225</v>
      </c>
      <c r="G11" s="72" t="s">
        <v>224</v>
      </c>
      <c r="H11" s="72" t="s">
        <v>216</v>
      </c>
      <c r="I11" s="70"/>
      <c r="J11" s="70"/>
      <c r="K11" s="72" t="s">
        <v>217</v>
      </c>
      <c r="L11" s="70"/>
      <c r="M11" s="70"/>
      <c r="N11" s="70"/>
      <c r="O11" s="70"/>
      <c r="P11" s="70"/>
      <c r="Q11" s="70"/>
      <c r="R11" s="74" t="s">
        <v>179</v>
      </c>
      <c r="S11" s="74" t="s">
        <v>180</v>
      </c>
      <c r="T11" s="70"/>
      <c r="U11" s="70"/>
      <c r="V11" s="70"/>
    </row>
    <row r="12" ht="14.25" customHeight="1">
      <c r="A12" s="70"/>
      <c r="B12" s="71">
        <v>11.0</v>
      </c>
      <c r="C12" s="72" t="s">
        <v>226</v>
      </c>
      <c r="D12" s="70"/>
      <c r="E12" s="72" t="s">
        <v>227</v>
      </c>
      <c r="F12" s="72" t="s">
        <v>228</v>
      </c>
      <c r="G12" s="72" t="s">
        <v>227</v>
      </c>
      <c r="H12" s="72" t="s">
        <v>229</v>
      </c>
      <c r="I12" s="70"/>
      <c r="J12" s="70"/>
      <c r="K12" s="72" t="s">
        <v>230</v>
      </c>
      <c r="L12" s="70"/>
      <c r="M12" s="70"/>
      <c r="N12" s="70"/>
      <c r="O12" s="70"/>
      <c r="P12" s="70"/>
      <c r="Q12" s="70"/>
      <c r="R12" s="74" t="s">
        <v>179</v>
      </c>
      <c r="S12" s="74" t="s">
        <v>180</v>
      </c>
      <c r="T12" s="70"/>
      <c r="U12" s="70"/>
      <c r="V12" s="70"/>
    </row>
    <row r="13" ht="14.25" customHeight="1">
      <c r="A13" s="70"/>
      <c r="B13" s="71">
        <v>12.0</v>
      </c>
      <c r="C13" s="72" t="s">
        <v>231</v>
      </c>
      <c r="D13" s="70"/>
      <c r="E13" s="72" t="s">
        <v>232</v>
      </c>
      <c r="F13" s="72" t="s">
        <v>233</v>
      </c>
      <c r="G13" s="72" t="s">
        <v>232</v>
      </c>
      <c r="H13" s="72" t="s">
        <v>234</v>
      </c>
      <c r="I13" s="72" t="s">
        <v>235</v>
      </c>
      <c r="J13" s="70"/>
      <c r="K13" s="70"/>
      <c r="L13" s="70"/>
      <c r="M13" s="70"/>
      <c r="N13" s="70"/>
      <c r="O13" s="70"/>
      <c r="P13" s="70"/>
      <c r="Q13" s="70"/>
      <c r="R13" s="74" t="s">
        <v>179</v>
      </c>
      <c r="S13" s="74" t="s">
        <v>180</v>
      </c>
      <c r="T13" s="70"/>
      <c r="U13" s="70"/>
      <c r="V13" s="70"/>
    </row>
    <row r="14" ht="14.25" customHeight="1">
      <c r="A14" s="70"/>
      <c r="B14" s="71">
        <v>13.0</v>
      </c>
      <c r="C14" s="72" t="s">
        <v>236</v>
      </c>
      <c r="D14" s="70"/>
      <c r="E14" s="72" t="s">
        <v>237</v>
      </c>
      <c r="F14" s="72" t="s">
        <v>238</v>
      </c>
      <c r="G14" s="72" t="s">
        <v>239</v>
      </c>
      <c r="H14" s="72" t="s">
        <v>240</v>
      </c>
      <c r="I14" s="70"/>
      <c r="J14" s="70"/>
      <c r="K14" s="72" t="s">
        <v>241</v>
      </c>
      <c r="L14" s="70"/>
      <c r="M14" s="70"/>
      <c r="N14" s="70"/>
      <c r="O14" s="70"/>
      <c r="P14" s="70"/>
      <c r="Q14" s="70"/>
      <c r="R14" s="74" t="s">
        <v>179</v>
      </c>
      <c r="S14" s="74" t="s">
        <v>180</v>
      </c>
      <c r="T14" s="70"/>
      <c r="U14" s="70"/>
      <c r="V14" s="70"/>
    </row>
    <row r="15" ht="14.25" customHeight="1">
      <c r="B15" s="71">
        <v>14.0</v>
      </c>
      <c r="C15" s="72" t="s">
        <v>242</v>
      </c>
      <c r="D15" s="70"/>
      <c r="E15" s="72" t="s">
        <v>243</v>
      </c>
      <c r="F15" s="72" t="s">
        <v>244</v>
      </c>
      <c r="G15" s="72" t="s">
        <v>243</v>
      </c>
      <c r="H15" s="72" t="s">
        <v>245</v>
      </c>
      <c r="I15" s="70"/>
      <c r="J15" s="70"/>
      <c r="K15" s="72" t="s">
        <v>246</v>
      </c>
      <c r="L15" s="70"/>
      <c r="M15" s="70"/>
      <c r="N15" s="70"/>
      <c r="O15" s="70"/>
      <c r="P15" s="70"/>
      <c r="Q15" s="70"/>
      <c r="R15" s="74" t="s">
        <v>179</v>
      </c>
      <c r="S15" s="74" t="s">
        <v>180</v>
      </c>
    </row>
    <row r="16" ht="14.25" customHeight="1">
      <c r="B16" s="71">
        <v>15.0</v>
      </c>
      <c r="C16" s="72" t="s">
        <v>247</v>
      </c>
      <c r="D16" s="70"/>
      <c r="E16" s="72" t="s">
        <v>248</v>
      </c>
      <c r="F16" s="72" t="s">
        <v>249</v>
      </c>
      <c r="G16" s="72" t="s">
        <v>248</v>
      </c>
      <c r="H16" s="72" t="s">
        <v>250</v>
      </c>
      <c r="I16" s="70"/>
      <c r="J16" s="70"/>
      <c r="K16" s="70"/>
      <c r="L16" s="70"/>
      <c r="M16" s="70"/>
      <c r="N16" s="70"/>
      <c r="O16" s="70"/>
      <c r="P16" s="70"/>
      <c r="Q16" s="70"/>
      <c r="R16" s="74" t="s">
        <v>179</v>
      </c>
      <c r="S16" s="74" t="s">
        <v>180</v>
      </c>
    </row>
    <row r="17" ht="14.25" customHeight="1">
      <c r="B17" s="71">
        <v>16.0</v>
      </c>
      <c r="C17" s="72" t="s">
        <v>251</v>
      </c>
      <c r="D17" s="70"/>
      <c r="E17" s="72" t="s">
        <v>252</v>
      </c>
      <c r="F17" s="72" t="s">
        <v>253</v>
      </c>
      <c r="G17" s="72" t="s">
        <v>252</v>
      </c>
      <c r="H17" s="72" t="s">
        <v>254</v>
      </c>
      <c r="I17" s="70"/>
      <c r="J17" s="70"/>
      <c r="K17" s="72" t="s">
        <v>255</v>
      </c>
      <c r="L17" s="70"/>
      <c r="M17" s="70"/>
      <c r="N17" s="70"/>
      <c r="O17" s="70"/>
      <c r="P17" s="70"/>
      <c r="Q17" s="70"/>
      <c r="R17" s="74" t="s">
        <v>179</v>
      </c>
      <c r="S17" s="74" t="s">
        <v>180</v>
      </c>
    </row>
    <row r="18" ht="14.25" customHeight="1">
      <c r="B18" s="71">
        <v>17.0</v>
      </c>
      <c r="C18" s="72" t="s">
        <v>256</v>
      </c>
      <c r="D18" s="70"/>
      <c r="E18" s="72" t="s">
        <v>257</v>
      </c>
      <c r="F18" s="72" t="s">
        <v>258</v>
      </c>
      <c r="G18" s="72" t="s">
        <v>257</v>
      </c>
      <c r="H18" s="72" t="s">
        <v>259</v>
      </c>
      <c r="I18" s="70"/>
      <c r="J18" s="70"/>
      <c r="K18" s="72" t="s">
        <v>260</v>
      </c>
      <c r="L18" s="70"/>
      <c r="M18" s="70"/>
      <c r="N18" s="70"/>
      <c r="O18" s="70"/>
      <c r="P18" s="70"/>
      <c r="Q18" s="70"/>
      <c r="R18" s="74" t="s">
        <v>179</v>
      </c>
      <c r="S18" s="74" t="s">
        <v>180</v>
      </c>
    </row>
    <row r="19" ht="14.25" customHeight="1">
      <c r="B19" s="71">
        <v>18.0</v>
      </c>
      <c r="C19" s="72" t="s">
        <v>261</v>
      </c>
      <c r="D19" s="70"/>
      <c r="E19" s="72" t="s">
        <v>262</v>
      </c>
      <c r="F19" s="72" t="s">
        <v>263</v>
      </c>
      <c r="G19" s="72" t="s">
        <v>262</v>
      </c>
      <c r="H19" s="72" t="s">
        <v>264</v>
      </c>
      <c r="I19" s="72" t="s">
        <v>265</v>
      </c>
      <c r="J19" s="70"/>
      <c r="K19" s="72" t="s">
        <v>266</v>
      </c>
      <c r="L19" s="70"/>
      <c r="M19" s="70"/>
      <c r="N19" s="70"/>
      <c r="O19" s="70"/>
      <c r="P19" s="70"/>
      <c r="Q19" s="70"/>
      <c r="R19" s="74" t="s">
        <v>179</v>
      </c>
      <c r="S19" s="74" t="s">
        <v>180</v>
      </c>
    </row>
    <row r="20" ht="14.25" customHeight="1">
      <c r="B20" s="71">
        <v>19.0</v>
      </c>
      <c r="C20" s="72" t="s">
        <v>267</v>
      </c>
      <c r="D20" s="70"/>
      <c r="E20" s="72" t="s">
        <v>268</v>
      </c>
      <c r="F20" s="72" t="s">
        <v>269</v>
      </c>
      <c r="G20" s="72" t="s">
        <v>268</v>
      </c>
      <c r="H20" s="72" t="s">
        <v>270</v>
      </c>
      <c r="I20" s="70"/>
      <c r="J20" s="70"/>
      <c r="K20" s="72" t="s">
        <v>271</v>
      </c>
      <c r="L20" s="70"/>
      <c r="M20" s="70"/>
      <c r="N20" s="70"/>
      <c r="O20" s="70"/>
      <c r="P20" s="70"/>
      <c r="Q20" s="70"/>
      <c r="R20" s="74" t="s">
        <v>179</v>
      </c>
      <c r="S20" s="74" t="s">
        <v>180</v>
      </c>
    </row>
    <row r="21" ht="14.25" customHeight="1">
      <c r="B21" s="71">
        <v>20.0</v>
      </c>
      <c r="C21" s="72" t="s">
        <v>272</v>
      </c>
      <c r="D21" s="70"/>
      <c r="E21" s="72" t="s">
        <v>273</v>
      </c>
      <c r="F21" s="72" t="s">
        <v>274</v>
      </c>
      <c r="G21" s="72" t="s">
        <v>273</v>
      </c>
      <c r="H21" s="72" t="s">
        <v>275</v>
      </c>
      <c r="I21" s="70"/>
      <c r="J21" s="70"/>
      <c r="K21" s="72" t="s">
        <v>276</v>
      </c>
      <c r="L21" s="70"/>
      <c r="M21" s="70"/>
      <c r="N21" s="70"/>
      <c r="O21" s="70"/>
      <c r="P21" s="70"/>
      <c r="Q21" s="70"/>
      <c r="R21" s="74" t="s">
        <v>179</v>
      </c>
      <c r="S21" s="74" t="s">
        <v>180</v>
      </c>
    </row>
    <row r="22" ht="14.25" customHeight="1">
      <c r="B22" s="71">
        <v>21.0</v>
      </c>
      <c r="C22" s="72" t="s">
        <v>277</v>
      </c>
      <c r="D22" s="70"/>
      <c r="E22" s="72" t="s">
        <v>278</v>
      </c>
      <c r="F22" s="72" t="s">
        <v>279</v>
      </c>
      <c r="G22" s="72" t="s">
        <v>278</v>
      </c>
      <c r="H22" s="72" t="s">
        <v>280</v>
      </c>
      <c r="I22" s="70"/>
      <c r="J22" s="70"/>
      <c r="K22" s="72" t="s">
        <v>281</v>
      </c>
      <c r="L22" s="70"/>
      <c r="M22" s="70"/>
      <c r="N22" s="70"/>
      <c r="O22" s="70"/>
      <c r="P22" s="70"/>
      <c r="Q22" s="70"/>
      <c r="R22" s="74" t="s">
        <v>179</v>
      </c>
      <c r="S22" s="74" t="s">
        <v>180</v>
      </c>
    </row>
    <row r="23" ht="14.25" customHeight="1">
      <c r="B23" s="71">
        <v>22.0</v>
      </c>
      <c r="C23" s="72" t="s">
        <v>282</v>
      </c>
      <c r="D23" s="70"/>
      <c r="E23" s="72" t="s">
        <v>283</v>
      </c>
      <c r="F23" s="72" t="s">
        <v>284</v>
      </c>
      <c r="G23" s="72" t="s">
        <v>283</v>
      </c>
      <c r="H23" s="72" t="s">
        <v>285</v>
      </c>
      <c r="I23" s="72" t="s">
        <v>286</v>
      </c>
      <c r="J23" s="70"/>
      <c r="K23" s="72" t="s">
        <v>287</v>
      </c>
      <c r="L23" s="70"/>
      <c r="M23" s="70"/>
      <c r="N23" s="70"/>
      <c r="O23" s="70"/>
      <c r="P23" s="70"/>
      <c r="Q23" s="70"/>
      <c r="R23" s="74" t="s">
        <v>179</v>
      </c>
      <c r="S23" s="74" t="s">
        <v>180</v>
      </c>
    </row>
    <row r="24" ht="14.25" customHeight="1">
      <c r="B24" s="71">
        <v>23.0</v>
      </c>
      <c r="C24" s="72" t="s">
        <v>288</v>
      </c>
      <c r="D24" s="70"/>
      <c r="E24" s="72" t="s">
        <v>289</v>
      </c>
      <c r="F24" s="72" t="s">
        <v>290</v>
      </c>
      <c r="G24" s="72" t="s">
        <v>289</v>
      </c>
      <c r="H24" s="72" t="s">
        <v>291</v>
      </c>
      <c r="I24" s="72" t="s">
        <v>292</v>
      </c>
      <c r="J24" s="70"/>
      <c r="K24" s="72" t="s">
        <v>293</v>
      </c>
      <c r="L24" s="70"/>
      <c r="M24" s="70"/>
      <c r="N24" s="70"/>
      <c r="O24" s="70"/>
      <c r="P24" s="70"/>
      <c r="Q24" s="70"/>
      <c r="R24" s="74" t="s">
        <v>179</v>
      </c>
      <c r="S24" s="74" t="s">
        <v>180</v>
      </c>
    </row>
    <row r="25" ht="14.25" customHeight="1">
      <c r="B25" s="71">
        <v>24.0</v>
      </c>
      <c r="C25" s="72" t="s">
        <v>294</v>
      </c>
      <c r="D25" s="70"/>
      <c r="E25" s="72" t="s">
        <v>295</v>
      </c>
      <c r="F25" s="72" t="s">
        <v>296</v>
      </c>
      <c r="G25" s="72" t="s">
        <v>295</v>
      </c>
      <c r="H25" s="72" t="s">
        <v>297</v>
      </c>
      <c r="I25" s="72" t="s">
        <v>298</v>
      </c>
      <c r="J25" s="70"/>
      <c r="K25" s="70"/>
      <c r="L25" s="70"/>
      <c r="M25" s="70"/>
      <c r="N25" s="70"/>
      <c r="O25" s="70"/>
      <c r="P25" s="70"/>
      <c r="Q25" s="70"/>
      <c r="R25" s="74" t="s">
        <v>179</v>
      </c>
      <c r="S25" s="74" t="s">
        <v>180</v>
      </c>
    </row>
    <row r="26" ht="14.25" customHeight="1">
      <c r="B26" s="71">
        <v>25.0</v>
      </c>
      <c r="C26" s="72" t="s">
        <v>299</v>
      </c>
      <c r="D26" s="70"/>
      <c r="E26" s="72" t="s">
        <v>300</v>
      </c>
      <c r="F26" s="72" t="s">
        <v>301</v>
      </c>
      <c r="G26" s="72" t="s">
        <v>300</v>
      </c>
      <c r="H26" s="72" t="s">
        <v>302</v>
      </c>
      <c r="I26" s="72" t="s">
        <v>303</v>
      </c>
      <c r="J26" s="70"/>
      <c r="K26" s="72" t="s">
        <v>304</v>
      </c>
      <c r="L26" s="70"/>
      <c r="M26" s="70"/>
      <c r="N26" s="70"/>
      <c r="O26" s="70"/>
      <c r="P26" s="70"/>
      <c r="Q26" s="70"/>
      <c r="R26" s="74" t="s">
        <v>179</v>
      </c>
      <c r="S26" s="74" t="s">
        <v>180</v>
      </c>
    </row>
    <row r="27" ht="14.25" customHeight="1">
      <c r="B27" s="71">
        <v>26.0</v>
      </c>
      <c r="C27" s="72" t="s">
        <v>305</v>
      </c>
      <c r="D27" s="70"/>
      <c r="E27" s="72" t="s">
        <v>306</v>
      </c>
      <c r="F27" s="72" t="s">
        <v>35</v>
      </c>
      <c r="G27" s="72" t="s">
        <v>306</v>
      </c>
      <c r="H27" s="72" t="s">
        <v>307</v>
      </c>
      <c r="I27" s="70"/>
      <c r="J27" s="70"/>
      <c r="K27" s="72" t="s">
        <v>255</v>
      </c>
      <c r="L27" s="70"/>
      <c r="M27" s="70"/>
      <c r="N27" s="70"/>
      <c r="O27" s="70"/>
      <c r="P27" s="70"/>
      <c r="Q27" s="70"/>
      <c r="R27" s="74" t="s">
        <v>179</v>
      </c>
      <c r="S27" s="74" t="s">
        <v>180</v>
      </c>
    </row>
    <row r="28" ht="14.25" customHeight="1">
      <c r="B28" s="71">
        <v>27.0</v>
      </c>
      <c r="C28" s="72" t="s">
        <v>308</v>
      </c>
      <c r="D28" s="70"/>
      <c r="E28" s="72" t="s">
        <v>309</v>
      </c>
      <c r="F28" s="72" t="s">
        <v>310</v>
      </c>
      <c r="G28" s="72" t="s">
        <v>309</v>
      </c>
      <c r="H28" s="72" t="s">
        <v>311</v>
      </c>
      <c r="I28" s="70"/>
      <c r="J28" s="70"/>
      <c r="K28" s="70"/>
      <c r="L28" s="70"/>
      <c r="M28" s="70"/>
      <c r="N28" s="70"/>
      <c r="O28" s="70"/>
      <c r="P28" s="70"/>
      <c r="Q28" s="70"/>
      <c r="R28" s="74" t="s">
        <v>179</v>
      </c>
      <c r="S28" s="74" t="s">
        <v>180</v>
      </c>
    </row>
    <row r="29" ht="14.25" customHeight="1">
      <c r="B29" s="71">
        <v>28.0</v>
      </c>
      <c r="C29" s="72" t="s">
        <v>312</v>
      </c>
      <c r="D29" s="70"/>
      <c r="E29" s="72" t="s">
        <v>313</v>
      </c>
      <c r="F29" s="72" t="s">
        <v>314</v>
      </c>
      <c r="G29" s="72" t="s">
        <v>313</v>
      </c>
      <c r="H29" s="72" t="s">
        <v>315</v>
      </c>
      <c r="I29" s="70"/>
      <c r="J29" s="70"/>
      <c r="K29" s="72" t="s">
        <v>316</v>
      </c>
      <c r="L29" s="70"/>
      <c r="M29" s="70"/>
      <c r="N29" s="70"/>
      <c r="O29" s="70"/>
      <c r="P29" s="70"/>
      <c r="Q29" s="70"/>
      <c r="R29" s="74" t="s">
        <v>179</v>
      </c>
      <c r="S29" s="74" t="s">
        <v>180</v>
      </c>
    </row>
    <row r="30" ht="14.25" customHeight="1">
      <c r="B30" s="71">
        <v>29.0</v>
      </c>
      <c r="C30" s="72" t="s">
        <v>317</v>
      </c>
      <c r="D30" s="70"/>
      <c r="E30" s="72" t="s">
        <v>318</v>
      </c>
      <c r="F30" s="72" t="s">
        <v>319</v>
      </c>
      <c r="G30" s="72" t="s">
        <v>318</v>
      </c>
      <c r="H30" s="72" t="s">
        <v>320</v>
      </c>
      <c r="I30" s="70"/>
      <c r="J30" s="70"/>
      <c r="K30" s="72" t="s">
        <v>316</v>
      </c>
      <c r="L30" s="70"/>
      <c r="M30" s="70"/>
      <c r="N30" s="70"/>
      <c r="O30" s="70"/>
      <c r="P30" s="70"/>
      <c r="Q30" s="70"/>
      <c r="R30" s="74" t="s">
        <v>179</v>
      </c>
      <c r="S30" s="74" t="s">
        <v>180</v>
      </c>
    </row>
    <row r="31" ht="14.25" customHeight="1">
      <c r="B31" s="71">
        <v>30.0</v>
      </c>
      <c r="C31" s="72" t="s">
        <v>321</v>
      </c>
      <c r="D31" s="70"/>
      <c r="E31" s="72" t="s">
        <v>322</v>
      </c>
      <c r="F31" s="72" t="s">
        <v>322</v>
      </c>
      <c r="G31" s="72" t="s">
        <v>322</v>
      </c>
      <c r="H31" s="72" t="s">
        <v>323</v>
      </c>
      <c r="I31" s="70"/>
      <c r="J31" s="70"/>
      <c r="K31" s="70"/>
      <c r="L31" s="70"/>
      <c r="M31" s="70"/>
      <c r="N31" s="70"/>
      <c r="O31" s="70"/>
      <c r="P31" s="70"/>
      <c r="Q31" s="70"/>
      <c r="R31" s="74" t="s">
        <v>179</v>
      </c>
      <c r="S31" s="74" t="s">
        <v>180</v>
      </c>
    </row>
    <row r="32" ht="14.25" customHeight="1">
      <c r="B32" s="71">
        <v>31.0</v>
      </c>
      <c r="C32" s="72" t="s">
        <v>324</v>
      </c>
      <c r="D32" s="70"/>
      <c r="E32" s="72" t="s">
        <v>325</v>
      </c>
      <c r="F32" s="72" t="s">
        <v>326</v>
      </c>
      <c r="G32" s="72" t="s">
        <v>327</v>
      </c>
      <c r="H32" s="72" t="s">
        <v>328</v>
      </c>
      <c r="I32" s="72" t="s">
        <v>329</v>
      </c>
      <c r="J32" s="70"/>
      <c r="K32" s="72" t="s">
        <v>330</v>
      </c>
      <c r="L32" s="70"/>
      <c r="M32" s="70"/>
      <c r="N32" s="70"/>
      <c r="O32" s="70"/>
      <c r="P32" s="70"/>
      <c r="Q32" s="70"/>
      <c r="R32" s="74" t="s">
        <v>179</v>
      </c>
      <c r="S32" s="74" t="s">
        <v>180</v>
      </c>
    </row>
    <row r="33" ht="14.25" customHeight="1">
      <c r="B33" s="71">
        <v>32.0</v>
      </c>
      <c r="C33" s="72" t="s">
        <v>331</v>
      </c>
      <c r="D33" s="70"/>
      <c r="E33" s="72" t="s">
        <v>332</v>
      </c>
      <c r="F33" s="72" t="s">
        <v>333</v>
      </c>
      <c r="G33" s="72" t="s">
        <v>332</v>
      </c>
      <c r="H33" s="72" t="s">
        <v>334</v>
      </c>
      <c r="I33" s="70"/>
      <c r="J33" s="70"/>
      <c r="K33" s="72" t="s">
        <v>255</v>
      </c>
      <c r="L33" s="70"/>
      <c r="M33" s="70"/>
      <c r="N33" s="70"/>
      <c r="O33" s="70"/>
      <c r="P33" s="70"/>
      <c r="Q33" s="70"/>
      <c r="R33" s="74" t="s">
        <v>179</v>
      </c>
      <c r="S33" s="74" t="s">
        <v>180</v>
      </c>
    </row>
    <row r="34" ht="14.25" customHeight="1">
      <c r="B34" s="71">
        <v>33.0</v>
      </c>
      <c r="C34" s="72" t="s">
        <v>335</v>
      </c>
      <c r="D34" s="70"/>
      <c r="E34" s="72" t="s">
        <v>336</v>
      </c>
      <c r="F34" s="72" t="s">
        <v>17</v>
      </c>
      <c r="G34" s="72" t="s">
        <v>336</v>
      </c>
      <c r="H34" s="72" t="s">
        <v>337</v>
      </c>
      <c r="I34" s="70"/>
      <c r="J34" s="70"/>
      <c r="K34" s="70"/>
      <c r="L34" s="70"/>
      <c r="M34" s="70"/>
      <c r="N34" s="70"/>
      <c r="O34" s="70"/>
      <c r="P34" s="70"/>
      <c r="Q34" s="70"/>
      <c r="R34" s="74" t="s">
        <v>179</v>
      </c>
      <c r="S34" s="74" t="s">
        <v>180</v>
      </c>
    </row>
    <row r="35" ht="14.25" customHeight="1">
      <c r="B35" s="71">
        <v>34.0</v>
      </c>
      <c r="C35" s="72" t="s">
        <v>338</v>
      </c>
      <c r="D35" s="70"/>
      <c r="E35" s="72" t="s">
        <v>339</v>
      </c>
      <c r="F35" s="72" t="s">
        <v>340</v>
      </c>
      <c r="G35" s="72" t="s">
        <v>339</v>
      </c>
      <c r="H35" s="72" t="s">
        <v>341</v>
      </c>
      <c r="I35" s="70"/>
      <c r="J35" s="70"/>
      <c r="K35" s="70"/>
      <c r="L35" s="70"/>
      <c r="M35" s="70"/>
      <c r="N35" s="70"/>
      <c r="O35" s="70"/>
      <c r="P35" s="70"/>
      <c r="Q35" s="70"/>
      <c r="R35" s="74" t="s">
        <v>179</v>
      </c>
      <c r="S35" s="74" t="s">
        <v>180</v>
      </c>
    </row>
    <row r="36" ht="14.25" customHeight="1">
      <c r="B36" s="71">
        <v>35.0</v>
      </c>
      <c r="C36" s="72" t="s">
        <v>342</v>
      </c>
      <c r="D36" s="70"/>
      <c r="E36" s="72" t="s">
        <v>343</v>
      </c>
      <c r="F36" s="72" t="s">
        <v>344</v>
      </c>
      <c r="G36" s="72" t="s">
        <v>343</v>
      </c>
      <c r="H36" s="72" t="s">
        <v>345</v>
      </c>
      <c r="I36" s="70"/>
      <c r="J36" s="70"/>
      <c r="K36" s="72" t="s">
        <v>346</v>
      </c>
      <c r="L36" s="70"/>
      <c r="M36" s="70"/>
      <c r="N36" s="70"/>
      <c r="O36" s="70"/>
      <c r="P36" s="70"/>
      <c r="Q36" s="70"/>
      <c r="R36" s="74" t="s">
        <v>179</v>
      </c>
      <c r="S36" s="74" t="s">
        <v>180</v>
      </c>
    </row>
    <row r="37" ht="14.25" customHeight="1">
      <c r="B37" s="71">
        <v>36.0</v>
      </c>
      <c r="C37" s="72" t="s">
        <v>347</v>
      </c>
      <c r="D37" s="70"/>
      <c r="E37" s="72" t="s">
        <v>348</v>
      </c>
      <c r="F37" s="72" t="s">
        <v>349</v>
      </c>
      <c r="G37" s="72" t="s">
        <v>348</v>
      </c>
      <c r="H37" s="72" t="s">
        <v>350</v>
      </c>
      <c r="I37" s="70"/>
      <c r="J37" s="70"/>
      <c r="K37" s="72" t="s">
        <v>351</v>
      </c>
      <c r="L37" s="70"/>
      <c r="M37" s="70"/>
      <c r="N37" s="70"/>
      <c r="O37" s="70"/>
      <c r="P37" s="70"/>
      <c r="Q37" s="70"/>
      <c r="R37" s="74" t="s">
        <v>179</v>
      </c>
      <c r="S37" s="74" t="s">
        <v>180</v>
      </c>
    </row>
    <row r="38" ht="14.25" customHeight="1">
      <c r="B38" s="71">
        <v>37.0</v>
      </c>
      <c r="C38" s="72" t="s">
        <v>352</v>
      </c>
      <c r="D38" s="70"/>
      <c r="E38" s="72" t="s">
        <v>353</v>
      </c>
      <c r="F38" s="72" t="s">
        <v>354</v>
      </c>
      <c r="G38" s="72" t="s">
        <v>355</v>
      </c>
      <c r="H38" s="72" t="s">
        <v>356</v>
      </c>
      <c r="I38" s="70"/>
      <c r="J38" s="70"/>
      <c r="K38" s="72" t="s">
        <v>357</v>
      </c>
      <c r="L38" s="70"/>
      <c r="M38" s="70"/>
      <c r="N38" s="70"/>
      <c r="O38" s="70"/>
      <c r="P38" s="70"/>
      <c r="Q38" s="70"/>
      <c r="R38" s="74" t="s">
        <v>179</v>
      </c>
      <c r="S38" s="74" t="s">
        <v>180</v>
      </c>
    </row>
    <row r="39" ht="14.25" customHeight="1">
      <c r="B39" s="71">
        <v>39.0</v>
      </c>
      <c r="C39" s="72" t="s">
        <v>358</v>
      </c>
      <c r="D39" s="70"/>
      <c r="E39" s="72" t="s">
        <v>359</v>
      </c>
      <c r="F39" s="72" t="s">
        <v>360</v>
      </c>
      <c r="G39" s="72" t="s">
        <v>359</v>
      </c>
      <c r="H39" s="72" t="s">
        <v>361</v>
      </c>
      <c r="I39" s="70"/>
      <c r="J39" s="70"/>
      <c r="K39" s="70"/>
      <c r="L39" s="70"/>
      <c r="M39" s="70"/>
      <c r="N39" s="70"/>
      <c r="O39" s="70"/>
      <c r="P39" s="70"/>
      <c r="Q39" s="70"/>
      <c r="R39" s="74" t="s">
        <v>179</v>
      </c>
      <c r="S39" s="74" t="s">
        <v>180</v>
      </c>
    </row>
    <row r="40" ht="14.25" customHeight="1">
      <c r="B40" s="71">
        <v>40.0</v>
      </c>
      <c r="C40" s="72" t="s">
        <v>362</v>
      </c>
      <c r="D40" s="70"/>
      <c r="E40" s="72" t="s">
        <v>363</v>
      </c>
      <c r="F40" s="72" t="s">
        <v>106</v>
      </c>
      <c r="G40" s="72" t="s">
        <v>363</v>
      </c>
      <c r="H40" s="72" t="s">
        <v>364</v>
      </c>
      <c r="I40" s="70"/>
      <c r="J40" s="70"/>
      <c r="K40" s="70"/>
      <c r="L40" s="70"/>
      <c r="M40" s="70"/>
      <c r="N40" s="70"/>
      <c r="O40" s="70"/>
      <c r="P40" s="70"/>
      <c r="Q40" s="70"/>
      <c r="R40" s="74" t="s">
        <v>179</v>
      </c>
      <c r="S40" s="74" t="s">
        <v>180</v>
      </c>
    </row>
    <row r="41" ht="14.25" customHeight="1">
      <c r="B41" s="71">
        <v>41.0</v>
      </c>
      <c r="C41" s="72" t="s">
        <v>365</v>
      </c>
      <c r="D41" s="70"/>
      <c r="E41" s="72" t="s">
        <v>366</v>
      </c>
      <c r="F41" s="72" t="s">
        <v>367</v>
      </c>
      <c r="G41" s="72" t="s">
        <v>366</v>
      </c>
      <c r="H41" s="72" t="s">
        <v>368</v>
      </c>
      <c r="I41" s="70"/>
      <c r="J41" s="70"/>
      <c r="K41" s="72" t="s">
        <v>369</v>
      </c>
      <c r="L41" s="70"/>
      <c r="M41" s="70"/>
      <c r="N41" s="70"/>
      <c r="O41" s="70"/>
      <c r="P41" s="70"/>
      <c r="Q41" s="70"/>
      <c r="R41" s="74" t="s">
        <v>179</v>
      </c>
      <c r="S41" s="74" t="s">
        <v>180</v>
      </c>
    </row>
    <row r="42" ht="14.25" customHeight="1">
      <c r="B42" s="71">
        <v>43.0</v>
      </c>
      <c r="C42" s="72" t="s">
        <v>370</v>
      </c>
      <c r="D42" s="70"/>
      <c r="E42" s="72" t="s">
        <v>371</v>
      </c>
      <c r="F42" s="72" t="s">
        <v>120</v>
      </c>
      <c r="G42" s="72" t="s">
        <v>371</v>
      </c>
      <c r="H42" s="72" t="s">
        <v>372</v>
      </c>
      <c r="I42" s="70"/>
      <c r="J42" s="70"/>
      <c r="K42" s="72" t="s">
        <v>373</v>
      </c>
      <c r="L42" s="70"/>
      <c r="M42" s="70"/>
      <c r="N42" s="70"/>
      <c r="O42" s="70"/>
      <c r="P42" s="70"/>
      <c r="Q42" s="70"/>
      <c r="R42" s="74" t="s">
        <v>179</v>
      </c>
      <c r="S42" s="74" t="s">
        <v>180</v>
      </c>
    </row>
    <row r="43" ht="14.25" customHeight="1">
      <c r="B43" s="71">
        <v>44.0</v>
      </c>
      <c r="C43" s="72" t="s">
        <v>374</v>
      </c>
      <c r="D43" s="70"/>
      <c r="E43" s="72" t="s">
        <v>375</v>
      </c>
      <c r="F43" s="72" t="s">
        <v>375</v>
      </c>
      <c r="G43" s="72" t="s">
        <v>375</v>
      </c>
      <c r="H43" s="72" t="s">
        <v>376</v>
      </c>
      <c r="I43" s="70"/>
      <c r="J43" s="70"/>
      <c r="K43" s="72" t="s">
        <v>377</v>
      </c>
      <c r="L43" s="70"/>
      <c r="M43" s="70"/>
      <c r="N43" s="70"/>
      <c r="O43" s="70"/>
      <c r="P43" s="70"/>
      <c r="Q43" s="70"/>
      <c r="R43" s="74" t="s">
        <v>179</v>
      </c>
      <c r="S43" s="74" t="s">
        <v>180</v>
      </c>
    </row>
    <row r="44" ht="14.25" customHeight="1">
      <c r="B44" s="71">
        <v>45.0</v>
      </c>
      <c r="C44" s="72" t="s">
        <v>378</v>
      </c>
      <c r="D44" s="70"/>
      <c r="E44" s="72" t="s">
        <v>379</v>
      </c>
      <c r="F44" s="72" t="s">
        <v>380</v>
      </c>
      <c r="G44" s="72" t="s">
        <v>379</v>
      </c>
      <c r="H44" s="72" t="s">
        <v>381</v>
      </c>
      <c r="I44" s="70"/>
      <c r="J44" s="70"/>
      <c r="K44" s="72" t="s">
        <v>382</v>
      </c>
      <c r="L44" s="70"/>
      <c r="M44" s="70"/>
      <c r="N44" s="70"/>
      <c r="O44" s="70"/>
      <c r="P44" s="70"/>
      <c r="Q44" s="70"/>
      <c r="R44" s="74" t="s">
        <v>179</v>
      </c>
      <c r="S44" s="74" t="s">
        <v>180</v>
      </c>
    </row>
    <row r="45" ht="14.25" customHeight="1">
      <c r="B45" s="71">
        <v>46.0</v>
      </c>
      <c r="C45" s="72" t="s">
        <v>383</v>
      </c>
      <c r="D45" s="70"/>
      <c r="E45" s="70"/>
      <c r="F45" s="72" t="s">
        <v>384</v>
      </c>
      <c r="G45" s="72" t="s">
        <v>385</v>
      </c>
      <c r="H45" s="72" t="s">
        <v>386</v>
      </c>
      <c r="I45" s="70"/>
      <c r="J45" s="70"/>
      <c r="K45" s="70"/>
      <c r="L45" s="70"/>
      <c r="M45" s="70"/>
      <c r="N45" s="70"/>
      <c r="O45" s="70"/>
      <c r="P45" s="70"/>
      <c r="Q45" s="70"/>
      <c r="R45" s="74" t="s">
        <v>179</v>
      </c>
      <c r="S45" s="74" t="s">
        <v>180</v>
      </c>
    </row>
    <row r="46" ht="14.25" customHeight="1">
      <c r="B46" s="71">
        <v>47.0</v>
      </c>
      <c r="C46" s="72" t="s">
        <v>387</v>
      </c>
      <c r="D46" s="70"/>
      <c r="E46" s="72" t="s">
        <v>388</v>
      </c>
      <c r="F46" s="72" t="s">
        <v>389</v>
      </c>
      <c r="G46" s="72" t="s">
        <v>388</v>
      </c>
      <c r="H46" s="72" t="s">
        <v>390</v>
      </c>
      <c r="I46" s="70"/>
      <c r="J46" s="70"/>
      <c r="K46" s="72" t="s">
        <v>391</v>
      </c>
      <c r="L46" s="70"/>
      <c r="M46" s="70"/>
      <c r="N46" s="70"/>
      <c r="O46" s="70"/>
      <c r="P46" s="70"/>
      <c r="Q46" s="73" t="s">
        <v>392</v>
      </c>
      <c r="R46" s="74" t="s">
        <v>179</v>
      </c>
      <c r="S46" s="74" t="s">
        <v>180</v>
      </c>
    </row>
    <row r="47" ht="14.25" customHeight="1">
      <c r="B47" s="71">
        <v>48.0</v>
      </c>
      <c r="C47" s="72" t="s">
        <v>393</v>
      </c>
      <c r="D47" s="72" t="s">
        <v>394</v>
      </c>
      <c r="E47" s="72" t="s">
        <v>395</v>
      </c>
      <c r="F47" s="72" t="s">
        <v>396</v>
      </c>
      <c r="G47" s="72" t="s">
        <v>397</v>
      </c>
      <c r="H47" s="72" t="s">
        <v>398</v>
      </c>
      <c r="I47" s="70"/>
      <c r="J47" s="70"/>
      <c r="K47" s="70"/>
      <c r="L47" s="70"/>
      <c r="M47" s="70"/>
      <c r="N47" s="70"/>
      <c r="O47" s="70"/>
      <c r="P47" s="70"/>
      <c r="Q47" s="70"/>
      <c r="R47" s="74" t="s">
        <v>179</v>
      </c>
      <c r="S47" s="74" t="s">
        <v>180</v>
      </c>
    </row>
    <row r="48" ht="14.25" customHeight="1">
      <c r="B48" s="71">
        <v>49.0</v>
      </c>
      <c r="C48" s="72" t="s">
        <v>399</v>
      </c>
      <c r="D48" s="70"/>
      <c r="E48" s="72" t="s">
        <v>400</v>
      </c>
      <c r="F48" s="72" t="s">
        <v>401</v>
      </c>
      <c r="G48" s="72" t="s">
        <v>400</v>
      </c>
      <c r="H48" s="72" t="s">
        <v>402</v>
      </c>
      <c r="I48" s="72" t="s">
        <v>265</v>
      </c>
      <c r="J48" s="70"/>
      <c r="K48" s="72" t="s">
        <v>403</v>
      </c>
      <c r="L48" s="70"/>
      <c r="M48" s="70"/>
      <c r="N48" s="70"/>
      <c r="O48" s="70"/>
      <c r="P48" s="70"/>
      <c r="Q48" s="70"/>
      <c r="R48" s="74" t="s">
        <v>179</v>
      </c>
      <c r="S48" s="74" t="s">
        <v>180</v>
      </c>
    </row>
    <row r="49" ht="14.25" customHeight="1">
      <c r="B49" s="71">
        <v>50.0</v>
      </c>
      <c r="C49" s="72" t="s">
        <v>404</v>
      </c>
      <c r="D49" s="72" t="s">
        <v>405</v>
      </c>
      <c r="E49" s="72" t="s">
        <v>406</v>
      </c>
      <c r="F49" s="72" t="s">
        <v>37</v>
      </c>
      <c r="G49" s="72" t="s">
        <v>407</v>
      </c>
      <c r="H49" s="72" t="s">
        <v>408</v>
      </c>
      <c r="I49" s="70"/>
      <c r="J49" s="70"/>
      <c r="K49" s="70"/>
      <c r="L49" s="70"/>
      <c r="M49" s="70"/>
      <c r="N49" s="70"/>
      <c r="O49" s="70"/>
      <c r="P49" s="70"/>
      <c r="Q49" s="70"/>
      <c r="R49" s="74" t="s">
        <v>179</v>
      </c>
      <c r="S49" s="74" t="s">
        <v>180</v>
      </c>
    </row>
    <row r="50" ht="14.25" customHeight="1">
      <c r="B50" s="71">
        <v>51.0</v>
      </c>
      <c r="C50" s="72" t="s">
        <v>409</v>
      </c>
      <c r="D50" s="72" t="s">
        <v>410</v>
      </c>
      <c r="E50" s="70"/>
      <c r="F50" s="72" t="s">
        <v>411</v>
      </c>
      <c r="G50" s="72" t="s">
        <v>412</v>
      </c>
      <c r="H50" s="72" t="s">
        <v>413</v>
      </c>
      <c r="I50" s="70"/>
      <c r="J50" s="70"/>
      <c r="K50" s="70"/>
      <c r="L50" s="70"/>
      <c r="M50" s="70"/>
      <c r="N50" s="70"/>
      <c r="O50" s="70"/>
      <c r="P50" s="70"/>
      <c r="Q50" s="70"/>
      <c r="R50" s="74" t="s">
        <v>179</v>
      </c>
      <c r="S50" s="74" t="s">
        <v>180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V$5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