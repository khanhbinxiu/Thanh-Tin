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686DDF1C-24C0-418D-A8CB-C3CD9481E3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L13" i="1"/>
  <c r="L11" i="1"/>
  <c r="L12" i="1"/>
  <c r="J11" i="1"/>
  <c r="J12" i="1"/>
  <c r="H11" i="1"/>
  <c r="H10" i="1"/>
  <c r="H12" i="1"/>
  <c r="I13" i="1"/>
  <c r="G13" i="1"/>
  <c r="F13" i="1"/>
  <c r="E13" i="1"/>
  <c r="D13" i="1"/>
  <c r="A3" i="1"/>
  <c r="J10" i="1"/>
  <c r="L10" i="1" s="1"/>
  <c r="L14" i="1" l="1"/>
  <c r="H13" i="1"/>
  <c r="J18" i="1"/>
  <c r="A16" i="1"/>
  <c r="A6" i="1"/>
  <c r="L15" i="1" l="1"/>
  <c r="L16" i="1" s="1"/>
</calcChain>
</file>

<file path=xl/sharedStrings.xml><?xml version="1.0" encoding="utf-8"?>
<sst xmlns="http://schemas.openxmlformats.org/spreadsheetml/2006/main" count="36" uniqueCount="28">
  <si>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</si>
  <si>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</si>
  <si>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</si>
  <si>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</si>
  <si>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</si>
  <si>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</si>
  <si>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</si>
  <si>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</si>
  <si>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</si>
  <si>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</si>
  <si>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</si>
  <si>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</si>
  <si>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</si>
  <si>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</si>
  <si>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</si>
  <si>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</si>
  <si>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</si>
  <si>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</si>
  <si>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</si>
  <si>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</si>
  <si>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</si>
  <si>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</si>
  <si>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</si>
  <si>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</si>
  <si>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</si>
  <si>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</si>
  <si>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 xml:space="preserve">KHÁCH HÀNG: HKD MỲ CAY SEOUL 7 CẤP ĐỘ ( HOÀNG HOA THÁM)
ĐỊA CHỈ: 123/1 Hoàng Hoa Thám, Phường 6, Quận Bình Thạnh, TPHCM
MST: </t>
  </si>
  <si>
    <t>SEOUL HHT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</si>
</sst>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(* #,##0_);_(* \(#,##0\);_(* &quot;-&quot;??_);_(@_)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J13" sqref="J13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 x14ac:dyDescent="0.35">
      <c r="A2" s="19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 x14ac:dyDescent="0.35">
      <c r="A3" s="25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4" t="s">
        <v>4</v>
      </c>
      <c r="P3" s="18"/>
    </row>
    <row r="4" spans="1:16" ht="42" customHeight="1" x14ac:dyDescent="0.35">
      <c r="A4" s="26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 x14ac:dyDescent="0.35">
      <c r="A5" s="21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 x14ac:dyDescent="0.35">
      <c r="A6" s="21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 x14ac:dyDescent="0.35">
      <c r="A7" s="21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6">
        <v>46148</v>
      </c>
      <c r="C10" s="12" t="s">
        <v>27</v>
      </c>
      <c r="D10" s="13">
        <v>2</v>
      </c>
      <c r="E10" s="13">
        <v>2</v>
      </c>
      <c r="F10" s="13"/>
      <c r="G10" s="13"/>
      <c r="H10" s="8">
        <f>D10*45+ F10*12</f>
        <v>90</v>
      </c>
      <c r="I10" s="13">
        <v>11.7</v>
      </c>
      <c r="J10" s="14">
        <f>H10-I10</f>
        <v>78.3</v>
      </c>
      <c r="K10" s="15"/>
      <c r="L10" s="8">
        <f>J10*K10</f>
        <v>0</v>
      </c>
      <c r="M10" s="7"/>
    </row>
    <row r="11" spans="1:16" ht="18" customHeight="1" x14ac:dyDescent="0.35">
      <c r="A11" s="5">
        <v>2</v>
      </c>
      <c r="B11" s="6">
        <v>46155</v>
      </c>
      <c r="C11" s="12" t="s">
        <v>27</v>
      </c>
      <c r="D11" s="13">
        <v>2</v>
      </c>
      <c r="E11" s="13">
        <v>2</v>
      </c>
      <c r="F11" s="13"/>
      <c r="G11" s="13"/>
      <c r="H11" s="8">
        <f>D11*45+ F11*12</f>
        <v>90</v>
      </c>
      <c r="I11" s="13">
        <v>11.7</v>
      </c>
      <c r="J11" s="14">
        <f t="shared" ref="J11:J12" si="0">H11-I11</f>
        <v>78.3</v>
      </c>
      <c r="K11" s="15"/>
      <c r="L11" s="8">
        <f t="shared" ref="L11:L12" si="1">J11*K11</f>
        <v>0</v>
      </c>
      <c r="M11" s="7"/>
    </row>
    <row r="12" spans="1:16" ht="18" customHeight="1" x14ac:dyDescent="0.35">
      <c r="A12" s="5">
        <v>3</v>
      </c>
      <c r="B12" s="6">
        <v>46160</v>
      </c>
      <c r="C12" s="12" t="s">
        <v>27</v>
      </c>
      <c r="D12" s="13">
        <v>2</v>
      </c>
      <c r="E12" s="13">
        <v>2</v>
      </c>
      <c r="F12" s="13"/>
      <c r="G12" s="13"/>
      <c r="H12" s="8">
        <f>D12*45+ F12*12</f>
        <v>90</v>
      </c>
      <c r="I12" s="13">
        <v>11.7</v>
      </c>
      <c r="J12" s="14">
        <f t="shared" si="0"/>
        <v>78.3</v>
      </c>
      <c r="K12" s="15"/>
      <c r="L12" s="8">
        <f t="shared" si="1"/>
        <v>0</v>
      </c>
      <c r="M12" s="7"/>
    </row>
    <row r="13" spans="1:16" ht="18" customHeight="1" x14ac:dyDescent="0.35">
      <c r="A13" s="9" t="s">
        <v>21</v>
      </c>
      <c r="B13" s="10"/>
      <c r="C13" s="10"/>
      <c r="D13" s="16">
        <f>SUM(D10:D12)</f>
        <v>6</v>
      </c>
      <c r="E13" s="16">
        <f t="shared" ref="E13:L13" si="2">SUM(E10:E12)</f>
        <v>6</v>
      </c>
      <c r="F13" s="16">
        <f t="shared" si="2"/>
        <v>0</v>
      </c>
      <c r="G13" s="16">
        <f t="shared" si="2"/>
        <v>0</v>
      </c>
      <c r="H13" s="16">
        <f>SUM(H10:H12)</f>
        <v>270</v>
      </c>
      <c r="I13" s="16">
        <f>SUM(I10:I12)</f>
        <v>35.099999999999994</v>
      </c>
      <c r="J13" s="16">
        <f>SUM(J10:J12)</f>
        <v>234.89999999999998</v>
      </c>
      <c r="K13" s="10"/>
      <c r="L13" s="16">
        <f>SUM(L10:L12)</f>
        <v>0</v>
      </c>
      <c r="M13" s="10"/>
    </row>
    <row r="14" spans="1:16" ht="18" customHeight="1" x14ac:dyDescent="0.35">
      <c r="A14" s="22" t="s">
        <v>22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1">
        <f>L13*0.08</f>
        <v>0</v>
      </c>
    </row>
    <row r="15" spans="1:16" ht="18" customHeight="1" x14ac:dyDescent="0.35">
      <c r="A15" s="22" t="s">
        <v>23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>
        <f>L13+L14</f>
        <v>0</v>
      </c>
    </row>
    <row r="16" spans="1:16" ht="18" customHeight="1" x14ac:dyDescent="0.35">
      <c r="A16" s="21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>
        <f>L15</f>
        <v>0</v>
      </c>
    </row>
    <row r="17" spans="1:13" ht="10" customHeight="1" x14ac:dyDescent="0.35"/>
    <row r="18" spans="1:13" ht="18" customHeight="1" x14ac:dyDescent="0.35">
      <c r="J18" s="23" t="str">
        <f>"TP Hồ Chí Minh, Ngày "&amp;TEXT(DAY(DATE($P$2,$P$1+1,0)),"00")&amp;" tháng "&amp;TEXT($P$1,"00")&amp;" năm "&amp;$P$2</f>
        <v>TP Hồ Chí Minh, Ngày 31 tháng 05 năm 2026</v>
      </c>
      <c r="K18" s="18"/>
      <c r="L18" s="18"/>
      <c r="M18" s="18"/>
    </row>
    <row r="19" spans="1:13" ht="18" customHeight="1" x14ac:dyDescent="0.35">
      <c r="A19" s="20" t="s">
        <v>24</v>
      </c>
      <c r="B19" s="18"/>
      <c r="C19" s="18"/>
      <c r="D19" s="18"/>
      <c r="J19" s="20" t="s">
        <v>25</v>
      </c>
      <c r="K19" s="18"/>
      <c r="L19" s="18"/>
      <c r="M19" s="18"/>
    </row>
  </sheetData>
  <mergeCells count="14">
    <mergeCell ref="O3:P3"/>
    <mergeCell ref="A3:N3"/>
    <mergeCell ref="A6:N6"/>
    <mergeCell ref="A16:K16"/>
    <mergeCell ref="A4:N4"/>
    <mergeCell ref="A1:N1"/>
    <mergeCell ref="A2:N2"/>
    <mergeCell ref="A19:D19"/>
    <mergeCell ref="A7:N7"/>
    <mergeCell ref="A14:K14"/>
    <mergeCell ref="J18:M18"/>
    <mergeCell ref="J19:M19"/>
    <mergeCell ref="A5:N5"/>
    <mergeCell ref="A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2026-05-25T04:16:40Z</dcterms:modified>
</cp:coreProperties>
</file>