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6C0445CB-7ADE-4245-9454-0D1C646D8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ÔNG NỢ 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I11" i="4"/>
  <c r="G11" i="4"/>
  <c r="F11" i="4"/>
  <c r="E11" i="4"/>
  <c r="D11" i="4"/>
  <c r="J16" i="4" l="1"/>
  <c r="A14" i="4"/>
  <c r="H10" i="4"/>
  <c r="A6" i="4"/>
  <c r="A3" i="4"/>
  <c r="J10" i="4" l="1"/>
  <c r="J11" i="4" s="1"/>
  <c r="H11" i="4"/>
  <c r="L10" i="4" l="1"/>
  <c r="L11" i="4" s="1"/>
  <c r="L12" i="4"/>
  <c r="L13" i="4" s="1"/>
  <c r="L14" i="4" s="1"/>
</calcChain>
</file>

<file path=xl/sharedStrings.xml><?xml version="1.0" encoding="utf-8"?>
<sst xmlns="http://schemas.openxmlformats.org/spreadsheetml/2006/main" count="34" uniqueCount="28">
  <si>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</si>
  <si>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</si>
  <si>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</si>
  <si>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</si>
  <si>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</si>
  <si>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</si>
  <si>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</si>
  <si>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</si>
  <si>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</si>
  <si>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</si>
  <si>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</si>
  <si>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</si>
  <si>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</si>
  <si>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</si>
  <si>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</si>
  <si>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</si>
  <si>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</si>
  <si>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</si>
  <si>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</si>
  <si>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</si>
  <si>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</si>
  <si>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</si>
  <si>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</si>
  <si>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</si>
  <si>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</si>
  <si>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</si>
  <si>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 xml:space="preserve">KHÁCH HÀNG: HƯƠNG VIỆT 
ĐỊA CHỈ: 
MST: </t>
  </si>
  <si>
    <t xml:space="preserve">HƯƠNG VIỆT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</si>
</sst>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780-CAEC-45C0-905F-09F2ADC77631}">
  <dimension ref="A1:P17"/>
  <sheetViews>
    <sheetView tabSelected="1" zoomScale="70" zoomScaleNormal="70" workbookViewId="0">
      <selection activeCell="F19" sqref="F19"/>
    </sheetView>
  </sheetViews>
  <sheetFormatPr defaultRowHeight="14.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>
      <c r="A2" s="20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>
      <c r="A3" s="21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2" t="s">
        <v>4</v>
      </c>
      <c r="P3" s="18"/>
    </row>
    <row r="4" spans="1:16" ht="42" customHeight="1">
      <c r="A4" s="23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>
      <c r="A6" s="17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>
      <c r="A10" s="5">
        <v>1</v>
      </c>
      <c r="B10" s="15">
        <v>46161</v>
      </c>
      <c r="C10" s="16" t="s">
        <v>27</v>
      </c>
      <c r="D10" s="11">
        <v>1</v>
      </c>
      <c r="E10" s="11">
        <v>0</v>
      </c>
      <c r="F10" s="11">
        <v>1</v>
      </c>
      <c r="G10" s="11">
        <v>0</v>
      </c>
      <c r="H10" s="6">
        <f>D10*45+ F10*12</f>
        <v>57</v>
      </c>
      <c r="I10" s="11">
        <v>0</v>
      </c>
      <c r="J10" s="12">
        <f>H10-I10</f>
        <v>57</v>
      </c>
      <c r="K10" s="13"/>
      <c r="L10" s="7">
        <f>J10*K10</f>
        <v>0</v>
      </c>
      <c r="M10" s="6"/>
    </row>
    <row r="11" spans="1:16" ht="18" customHeight="1">
      <c r="A11" s="8" t="s">
        <v>21</v>
      </c>
      <c r="B11" s="9"/>
      <c r="C11" s="9"/>
      <c r="D11" s="14">
        <f>SUM(D10:D10)</f>
        <v>1</v>
      </c>
      <c r="E11" s="14">
        <f>SUM(E10:E10)</f>
        <v>0</v>
      </c>
      <c r="F11" s="14">
        <f>SUM(F10:F10)</f>
        <v>1</v>
      </c>
      <c r="G11" s="14">
        <f>SUM(G10:G10)</f>
        <v>0</v>
      </c>
      <c r="H11" s="14">
        <f>SUM(H10:H10)</f>
        <v>57</v>
      </c>
      <c r="I11" s="14">
        <f>SUM(I10:I10)</f>
        <v>0</v>
      </c>
      <c r="J11" s="14">
        <f>SUM(J10:J10)</f>
        <v>57</v>
      </c>
      <c r="K11" s="14">
        <f>SUM(K10:K10)</f>
        <v>0</v>
      </c>
      <c r="L11" s="14">
        <f>SUM(L10:L10)</f>
        <v>0</v>
      </c>
      <c r="M11" s="9"/>
    </row>
    <row r="12" spans="1:16" ht="18" customHeight="1">
      <c r="A12" s="25" t="s">
        <v>22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0">
        <f>L11*0.08</f>
        <v>0</v>
      </c>
    </row>
    <row r="13" spans="1:16" ht="18" customHeight="1">
      <c r="A13" s="25" t="s">
        <v>23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0">
        <f>L11+L12</f>
        <v>0</v>
      </c>
    </row>
    <row r="14" spans="1:16" ht="18" customHeight="1">
      <c r="A14" s="17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0">
        <f>L13</f>
        <v>0</v>
      </c>
    </row>
    <row r="15" spans="1:16" ht="10" customHeight="1"/>
    <row r="16" spans="1:16" ht="18" customHeight="1">
      <c r="J16" s="26" t="str">
        <f>"TP Hồ Chí Minh, Ngày "&amp;TEXT(DAY(DATE($P$2,$P$1+1,0)),"00")&amp;" tháng "&amp;TEXT($P$1,"00")&amp;" năm "&amp;$P$2</f>
        <v>TP Hồ Chí Minh, Ngày 31 tháng 05 năm 2026</v>
      </c>
      <c r="K16" s="18"/>
      <c r="L16" s="18"/>
      <c r="M16" s="18"/>
    </row>
    <row r="17" spans="1:13" ht="18" customHeight="1">
      <c r="A17" s="24" t="s">
        <v>24</v>
      </c>
      <c r="B17" s="18"/>
      <c r="C17" s="18"/>
      <c r="D17" s="18"/>
      <c r="J17" s="24" t="s">
        <v>25</v>
      </c>
      <c r="K17" s="18"/>
      <c r="L17" s="18"/>
      <c r="M17" s="18"/>
    </row>
  </sheetData>
  <mergeCells count="14">
    <mergeCell ref="A17:D17"/>
    <mergeCell ref="J17:M17"/>
    <mergeCell ref="A6:N6"/>
    <mergeCell ref="A7:N7"/>
    <mergeCell ref="A12:K12"/>
    <mergeCell ref="A13:K13"/>
    <mergeCell ref="A14:K14"/>
    <mergeCell ref="J16:M16"/>
    <mergeCell ref="A5:N5"/>
    <mergeCell ref="A1:N1"/>
    <mergeCell ref="A2:N2"/>
    <mergeCell ref="A3:N3"/>
    <mergeCell ref="O3:P3"/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2026-05-25T06:33:01Z</dcterms:modified>
</cp:coreProperties>
</file>