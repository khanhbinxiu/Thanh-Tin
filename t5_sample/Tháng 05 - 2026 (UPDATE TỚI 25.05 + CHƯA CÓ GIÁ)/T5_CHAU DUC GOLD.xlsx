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8_{48B845DF-25EE-4102-95B0-F53237AB2B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ông n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L16" i="1"/>
  <c r="L11" i="1"/>
  <c r="L12" i="1"/>
  <c r="L13" i="1"/>
  <c r="L14" i="1"/>
  <c r="L15" i="1"/>
  <c r="J11" i="1"/>
  <c r="J12" i="1"/>
  <c r="J13" i="1"/>
  <c r="J14" i="1"/>
  <c r="J15" i="1"/>
  <c r="H10" i="1"/>
  <c r="J10" i="1" s="1"/>
  <c r="H11" i="1"/>
  <c r="H12" i="1"/>
  <c r="H13" i="1"/>
  <c r="H14" i="1"/>
  <c r="H15" i="1"/>
  <c r="I16" i="1"/>
  <c r="G16" i="1"/>
  <c r="F16" i="1"/>
  <c r="E16" i="1"/>
  <c r="D16" i="1"/>
  <c r="A3" i="1"/>
  <c r="L10" i="1" l="1"/>
  <c r="L17" i="1" s="1"/>
  <c r="H16" i="1"/>
  <c r="J21" i="1"/>
  <c r="A19" i="1"/>
  <c r="A6" i="1"/>
  <c r="L18" i="1" l="1"/>
  <c r="L19" i="1" s="1"/>
</calcChain>
</file>

<file path=xl/sharedStrings.xml><?xml version="1.0" encoding="utf-8"?>
<sst xmlns="http://schemas.openxmlformats.org/spreadsheetml/2006/main" count="39" uniqueCount="28">
  <si>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</si>
  <si>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</si>
  <si>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</si>
  <si>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</si>
  <si>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</si>
  <si>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</si>
  <si>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</si>
  <si>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</si>
  <si>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</si>
  <si>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</si>
  <si>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</si>
  <si>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</si>
  <si>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</si>
  <si>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</si>
  <si>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</si>
  <si>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</si>
  <si>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</si>
  <si>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</si>
  <si>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</si>
  <si>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</si>
  <si>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</si>
  <si>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</si>
  <si>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</si>
  <si>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</si>
  <si>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</si>
  <si>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</si>
  <si>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>Phú Mỹ Gold</t>
  </si>
  <si>
    <t xml:space="preserve">KHÁCH HÀNG: CHÂU ĐỨC GOLD
ĐỊA CHỈ: 
MST: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</si>
</sst>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??_);_(@_)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5" fontId="1" fillId="5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5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Q10" sqref="Q10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" t="s">
        <v>1</v>
      </c>
      <c r="P1" s="2">
        <v>5</v>
      </c>
    </row>
    <row r="2" spans="1:16" ht="22" customHeight="1" x14ac:dyDescent="0.35">
      <c r="A2" s="18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 t="s">
        <v>3</v>
      </c>
      <c r="P2" s="2">
        <v>2026</v>
      </c>
    </row>
    <row r="3" spans="1:16" ht="18" customHeight="1" x14ac:dyDescent="0.35">
      <c r="A3" s="24" t="str">
        <f>"(THÁNG "&amp;TEXT($P$1,"00")&amp;"/"&amp;$P$2&amp;")"</f>
        <v>(THÁNG 05/2026)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3" t="s">
        <v>4</v>
      </c>
      <c r="P3" s="17"/>
    </row>
    <row r="4" spans="1:16" ht="42" customHeight="1" x14ac:dyDescent="0.35">
      <c r="A4" s="25" t="s">
        <v>27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6" ht="16" customHeight="1" x14ac:dyDescent="0.35">
      <c r="A5" s="20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6" ht="16" customHeight="1" x14ac:dyDescent="0.35">
      <c r="A6" s="20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6" ht="16" customHeight="1" x14ac:dyDescent="0.35">
      <c r="A7" s="20" t="s">
        <v>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6" ht="32" customHeight="1" x14ac:dyDescent="0.3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 x14ac:dyDescent="0.35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 x14ac:dyDescent="0.35">
      <c r="A10" s="5">
        <v>1</v>
      </c>
      <c r="B10" s="26">
        <v>46149</v>
      </c>
      <c r="C10" s="11" t="s">
        <v>26</v>
      </c>
      <c r="D10" s="12">
        <v>4</v>
      </c>
      <c r="E10" s="12">
        <v>4</v>
      </c>
      <c r="F10" s="12">
        <v>0</v>
      </c>
      <c r="G10" s="12">
        <v>1</v>
      </c>
      <c r="H10" s="27">
        <f>D10*45+ F10*12</f>
        <v>180</v>
      </c>
      <c r="I10" s="12">
        <v>7.6</v>
      </c>
      <c r="J10" s="13">
        <f>H10-I10</f>
        <v>172.4</v>
      </c>
      <c r="K10" s="14"/>
      <c r="L10" s="7">
        <f>J10*K10</f>
        <v>0</v>
      </c>
      <c r="M10" s="6"/>
    </row>
    <row r="11" spans="1:16" ht="18" customHeight="1" x14ac:dyDescent="0.35">
      <c r="A11" s="5">
        <v>2</v>
      </c>
      <c r="B11" s="26">
        <v>46149</v>
      </c>
      <c r="C11" s="11" t="s">
        <v>26</v>
      </c>
      <c r="D11" s="12">
        <v>2</v>
      </c>
      <c r="E11" s="12">
        <v>2</v>
      </c>
      <c r="F11" s="12"/>
      <c r="G11" s="12"/>
      <c r="H11" s="7">
        <f t="shared" ref="H11:H15" si="0">D11*45+ F11*12</f>
        <v>90</v>
      </c>
      <c r="I11" s="12"/>
      <c r="J11" s="13">
        <f t="shared" ref="J11:J15" si="1">H11-I11</f>
        <v>90</v>
      </c>
      <c r="K11" s="14"/>
      <c r="L11" s="7">
        <f t="shared" ref="L11:L15" si="2">J11*K11</f>
        <v>0</v>
      </c>
      <c r="M11" s="6"/>
    </row>
    <row r="12" spans="1:16" ht="18" customHeight="1" x14ac:dyDescent="0.35">
      <c r="A12" s="5">
        <v>3</v>
      </c>
      <c r="B12" s="26">
        <v>46150</v>
      </c>
      <c r="C12" s="11" t="s">
        <v>26</v>
      </c>
      <c r="D12" s="12">
        <v>3</v>
      </c>
      <c r="E12" s="12">
        <v>3</v>
      </c>
      <c r="F12" s="12">
        <v>2</v>
      </c>
      <c r="G12" s="12">
        <v>1</v>
      </c>
      <c r="H12" s="7">
        <f t="shared" si="0"/>
        <v>159</v>
      </c>
      <c r="I12" s="12"/>
      <c r="J12" s="13">
        <f t="shared" si="1"/>
        <v>159</v>
      </c>
      <c r="K12" s="14"/>
      <c r="L12" s="7">
        <f t="shared" si="2"/>
        <v>0</v>
      </c>
      <c r="M12" s="6"/>
    </row>
    <row r="13" spans="1:16" ht="18" customHeight="1" x14ac:dyDescent="0.35">
      <c r="A13" s="5">
        <v>4</v>
      </c>
      <c r="B13" s="26">
        <v>46153</v>
      </c>
      <c r="C13" s="11" t="s">
        <v>26</v>
      </c>
      <c r="D13" s="12">
        <v>3</v>
      </c>
      <c r="E13" s="12">
        <v>3</v>
      </c>
      <c r="F13" s="12"/>
      <c r="G13" s="12"/>
      <c r="H13" s="7">
        <f t="shared" si="0"/>
        <v>135</v>
      </c>
      <c r="I13" s="12">
        <v>2.7</v>
      </c>
      <c r="J13" s="13">
        <f t="shared" si="1"/>
        <v>132.30000000000001</v>
      </c>
      <c r="K13" s="14"/>
      <c r="L13" s="7">
        <f t="shared" si="2"/>
        <v>0</v>
      </c>
      <c r="M13" s="6"/>
    </row>
    <row r="14" spans="1:16" ht="18" customHeight="1" x14ac:dyDescent="0.35">
      <c r="A14" s="5">
        <v>5</v>
      </c>
      <c r="B14" s="26">
        <v>46161</v>
      </c>
      <c r="C14" s="11" t="s">
        <v>26</v>
      </c>
      <c r="D14" s="12">
        <v>4</v>
      </c>
      <c r="E14" s="12">
        <v>4</v>
      </c>
      <c r="F14" s="12">
        <v>2</v>
      </c>
      <c r="G14" s="12">
        <v>2</v>
      </c>
      <c r="H14" s="7">
        <f t="shared" si="0"/>
        <v>204</v>
      </c>
      <c r="I14" s="12"/>
      <c r="J14" s="13">
        <f t="shared" si="1"/>
        <v>204</v>
      </c>
      <c r="K14" s="14"/>
      <c r="L14" s="7">
        <f t="shared" si="2"/>
        <v>0</v>
      </c>
      <c r="M14" s="6"/>
    </row>
    <row r="15" spans="1:16" ht="18" customHeight="1" x14ac:dyDescent="0.35">
      <c r="A15" s="5">
        <v>6</v>
      </c>
      <c r="B15" s="26">
        <v>46160</v>
      </c>
      <c r="C15" s="11" t="s">
        <v>26</v>
      </c>
      <c r="D15" s="12">
        <v>4</v>
      </c>
      <c r="E15" s="12">
        <v>4</v>
      </c>
      <c r="F15" s="12"/>
      <c r="G15" s="12"/>
      <c r="H15" s="7">
        <f t="shared" si="0"/>
        <v>180</v>
      </c>
      <c r="I15" s="12">
        <v>6.4</v>
      </c>
      <c r="J15" s="13">
        <f t="shared" si="1"/>
        <v>173.6</v>
      </c>
      <c r="K15" s="14"/>
      <c r="L15" s="7">
        <f t="shared" si="2"/>
        <v>0</v>
      </c>
      <c r="M15" s="6"/>
    </row>
    <row r="16" spans="1:16" ht="18" customHeight="1" x14ac:dyDescent="0.35">
      <c r="A16" s="8" t="s">
        <v>21</v>
      </c>
      <c r="B16" s="9"/>
      <c r="C16" s="9"/>
      <c r="D16" s="15">
        <f>SUM(D10:D15)</f>
        <v>20</v>
      </c>
      <c r="E16" s="15">
        <f>SUM(E10:E15)</f>
        <v>20</v>
      </c>
      <c r="F16" s="15">
        <f>SUM(F10:F15)</f>
        <v>4</v>
      </c>
      <c r="G16" s="15">
        <f>SUM(G10:G15)</f>
        <v>4</v>
      </c>
      <c r="H16" s="15">
        <f>SUM(H10:H15)</f>
        <v>948</v>
      </c>
      <c r="I16" s="15">
        <f>SUM(I10:I15)</f>
        <v>16.700000000000003</v>
      </c>
      <c r="J16" s="15">
        <f>SUM(J10:J15)</f>
        <v>931.30000000000007</v>
      </c>
      <c r="K16" s="9"/>
      <c r="L16" s="15">
        <f>SUM(L10:L15)</f>
        <v>0</v>
      </c>
      <c r="M16" s="9"/>
    </row>
    <row r="17" spans="1:13" ht="18" customHeight="1" x14ac:dyDescent="0.35">
      <c r="A17" s="21" t="s">
        <v>22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0">
        <f>L16*0.08</f>
        <v>0</v>
      </c>
    </row>
    <row r="18" spans="1:13" ht="18" customHeight="1" x14ac:dyDescent="0.35">
      <c r="A18" s="21" t="s">
        <v>23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0">
        <f>L16+L17</f>
        <v>0</v>
      </c>
    </row>
    <row r="19" spans="1:13" ht="18" customHeight="1" x14ac:dyDescent="0.35">
      <c r="A19" s="20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0">
        <f>L18</f>
        <v>0</v>
      </c>
    </row>
    <row r="20" spans="1:13" ht="10" customHeight="1" x14ac:dyDescent="0.35"/>
    <row r="21" spans="1:13" ht="18" customHeight="1" x14ac:dyDescent="0.35">
      <c r="J21" s="22" t="str">
        <f>"TP Hồ Chí Minh, Ngày "&amp;TEXT(DAY(DATE($P$2,$P$1+1,0)),"00")&amp;" tháng "&amp;TEXT($P$1,"00")&amp;" năm "&amp;$P$2</f>
        <v>TP Hồ Chí Minh, Ngày 31 tháng 05 năm 2026</v>
      </c>
      <c r="K21" s="17"/>
      <c r="L21" s="17"/>
      <c r="M21" s="17"/>
    </row>
    <row r="22" spans="1:13" ht="18" customHeight="1" x14ac:dyDescent="0.35">
      <c r="A22" s="19" t="s">
        <v>24</v>
      </c>
      <c r="B22" s="17"/>
      <c r="C22" s="17"/>
      <c r="D22" s="17"/>
      <c r="J22" s="19" t="s">
        <v>25</v>
      </c>
      <c r="K22" s="17"/>
      <c r="L22" s="17"/>
      <c r="M22" s="17"/>
    </row>
  </sheetData>
  <mergeCells count="14">
    <mergeCell ref="O3:P3"/>
    <mergeCell ref="A3:N3"/>
    <mergeCell ref="A6:N6"/>
    <mergeCell ref="A19:K19"/>
    <mergeCell ref="A4:N4"/>
    <mergeCell ref="A1:N1"/>
    <mergeCell ref="A2:N2"/>
    <mergeCell ref="A22:D22"/>
    <mergeCell ref="A7:N7"/>
    <mergeCell ref="A17:K17"/>
    <mergeCell ref="J21:M21"/>
    <mergeCell ref="J22:M22"/>
    <mergeCell ref="A5:N5"/>
    <mergeCell ref="A18:K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2026-05-25T04:22:25Z</dcterms:modified>
</cp:coreProperties>
</file>